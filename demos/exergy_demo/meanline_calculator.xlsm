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exergy_demo/"/>
    </mc:Choice>
  </mc:AlternateContent>
  <xr:revisionPtr revIDLastSave="133" documentId="8_{2674F6DA-8B92-40FB-8E5D-0E569A481CBD}" xr6:coauthVersionLast="47" xr6:coauthVersionMax="47" xr10:uidLastSave="{77904577-82FA-40A8-AEBD-60CC6B46C5AA}"/>
  <bookViews>
    <workbookView xWindow="-98" yWindow="-98" windowWidth="28996" windowHeight="15675" xr2:uid="{00000000-000D-0000-FFFF-FFFF00000000}"/>
  </bookViews>
  <sheets>
    <sheet name="Meanline" sheetId="1" r:id="rId1"/>
  </sheets>
  <functionGroups builtInGroupCount="19">
    <functionGroup name="optiSLang Excel Add-In MOP Solve"/>
  </functionGroups>
  <calcPr calcId="191029"/>
  <extLst>
    <ext xmlns:x14="http://schemas.microsoft.com/office/spreadsheetml/2009/9/main" uri="{8193D73E-4604-4355-AFF4-8A2333D13BE4}">
      <x14:definedNames>
        <x14:definedName name="meanline_caculator_ful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eanline_calculator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p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 a="1"/>
  <c r="A1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<sst xmlns="http://schemas.openxmlformats.org/spreadsheetml/2006/main" count="20" uniqueCount="19">
  <si>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Parameter</t>
  </si>
  <si>
    <t>Value</t>
  </si>
  <si>
    <t>Air</t>
  </si>
  <si>
    <t>PT_INPUTS</t>
  </si>
  <si>
    <t>Result</t>
  </si>
  <si>
    <t>actual</t>
  </si>
  <si>
    <t>Configuration file fullpath</t>
  </si>
  <si>
    <t>Working fluid name</t>
  </si>
  <si>
    <t>Fluid property pair at inlet</t>
  </si>
  <si>
    <t>First fluid property at inlet</t>
  </si>
  <si>
    <t>Second fluid property at inlet</t>
  </si>
  <si>
    <t>Static pressure at exit</t>
  </si>
  <si>
    <t>Mass flow rate</t>
  </si>
  <si>
    <t>Overall blade velocity ratio</t>
  </si>
  <si>
    <t>Rotational speed value</t>
  </si>
  <si>
    <t>Rotational speed (actual/specific)</t>
  </si>
  <si>
    <t>Meanline inputs</t>
  </si>
  <si>
    <t>Meanline outputs</t>
  </si>
  <si>
    <t>c:/Users/roagr/OneDrive - Danmarks Tekniske Universitet/Roberto/git_projects/turbodash/demos/exergy_demo/config_radial.yaml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</si>
</sst>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Arial"/>
    </font>
    <font>
      <sz val="11"/>
      <name val="Arial"/>
    </font>
    <font>
      <sz val="11"/>
      <color rgb="FF0000FF"/>
      <name val="Arial"/>
    </font>
  </fonts>
  <fills count="5">
    <fill>
      <patternFill patternType="none"/>
    </fill>
    <fill>
      <patternFill patternType="gray125"/>
    </fill>
    <fill>
      <patternFill patternType="solid">
        <fgColor rgb="FFF0F0F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3" fillId="3" borderId="1" xfId="0" quotePrefix="1" applyNumberFormat="1" applyFont="1" applyFill="1" applyBorder="1" applyAlignment="1">
      <alignment horizontal="right" vertical="center"/>
    </xf>
    <xf numFmtId="49" fontId="3" fillId="3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2" fillId="0" borderId="1" xfId="0" applyFont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3"/>
  <sheetViews>
    <sheetView tabSelected="1" workbookViewId="0">
      <selection sqref="A1:B1"/>
    </sheetView>
  </sheetViews>
  <sheetFormatPr defaultRowHeight="14.25" x14ac:dyDescent="0.45"/>
  <cols>
    <col min="1" max="1" width="34" customWidth="1"/>
    <col min="2" max="2" width="18" customWidth="1"/>
  </cols>
  <sheetData>
    <row r="1" spans="1:2" x14ac:dyDescent="0.45">
      <c r="A1" s="8" t="s">
        <v>16</v>
      </c>
      <c r="B1" s="9"/>
    </row>
    <row r="2" spans="1:2" x14ac:dyDescent="0.45">
      <c r="A2" s="2" t="s">
        <v>0</v>
      </c>
      <c r="B2" s="2" t="s">
        <v>1</v>
      </c>
    </row>
    <row r="3" spans="1:2" x14ac:dyDescent="0.45">
      <c r="A3" s="3" t="s">
        <v>6</v>
      </c>
      <c r="B3" s="4" t="s">
        <v>18</v>
      </c>
    </row>
    <row r="4" spans="1:2" x14ac:dyDescent="0.45">
      <c r="A4" s="3" t="s">
        <v>7</v>
      </c>
      <c r="B4" s="5" t="s">
        <v>2</v>
      </c>
    </row>
    <row r="5" spans="1:2" x14ac:dyDescent="0.45">
      <c r="A5" s="3" t="s">
        <v>8</v>
      </c>
      <c r="B5" s="5" t="s">
        <v>3</v>
      </c>
    </row>
    <row r="6" spans="1:2" x14ac:dyDescent="0.45">
      <c r="A6" s="3" t="s">
        <v>9</v>
      </c>
      <c r="B6" s="6">
        <v>500000</v>
      </c>
    </row>
    <row r="7" spans="1:2" x14ac:dyDescent="0.45">
      <c r="A7" s="3" t="s">
        <v>10</v>
      </c>
      <c r="B7" s="6">
        <v>600</v>
      </c>
    </row>
    <row r="8" spans="1:2" x14ac:dyDescent="0.45">
      <c r="A8" s="3" t="s">
        <v>11</v>
      </c>
      <c r="B8" s="6">
        <v>100000</v>
      </c>
    </row>
    <row r="9" spans="1:2" x14ac:dyDescent="0.45">
      <c r="A9" s="3" t="s">
        <v>12</v>
      </c>
      <c r="B9" s="6">
        <v>100</v>
      </c>
    </row>
    <row r="10" spans="1:2" x14ac:dyDescent="0.45">
      <c r="A10" s="3" t="s">
        <v>13</v>
      </c>
      <c r="B10" s="6">
        <v>0.2</v>
      </c>
    </row>
    <row r="11" spans="1:2" x14ac:dyDescent="0.45">
      <c r="A11" s="3" t="s">
        <v>15</v>
      </c>
      <c r="B11" s="6" t="s">
        <v>5</v>
      </c>
    </row>
    <row r="12" spans="1:2" x14ac:dyDescent="0.45">
      <c r="A12" s="3" t="s">
        <v>14</v>
      </c>
      <c r="B12" s="6">
        <v>3000</v>
      </c>
    </row>
    <row r="14" spans="1:2" x14ac:dyDescent="0.45">
      <c r="A14" s="8" t="s">
        <v>17</v>
      </c>
      <c r="B14" s="9"/>
    </row>
    <row r="15" spans="1:2" x14ac:dyDescent="0.45">
      <c r="A15" s="2" t="s">
        <v>4</v>
      </c>
      <c r="B15" s="2" t="s">
        <v>1</v>
      </c>
    </row>
    <row r="16" spans="1:2" x14ac:dyDescent="0.45">
      <c r="A16" s="7" t="str" cm="1">
        <f t="array" ref="A16:B23">meanline_calculator(B3,B4,B5,B6,B7,B8,B9,B10,B11,B12)</f>
        <v>Total-to-total efficiency [%]</v>
      </c>
      <c r="B16" s="1">
        <v>89.35</v>
      </c>
    </row>
    <row r="17" spans="1:2" x14ac:dyDescent="0.45">
      <c r="A17" s="1" t="str">
        <v>Total-to-static efficiency [%]</v>
      </c>
      <c r="B17" s="1">
        <v>86.19</v>
      </c>
    </row>
    <row r="18" spans="1:2" x14ac:dyDescent="0.45">
      <c r="A18" s="1" t="str">
        <v>Actual power [kW]</v>
      </c>
      <c r="B18" s="1">
        <v>19282.86</v>
      </c>
    </row>
    <row r="19" spans="1:2" x14ac:dyDescent="0.45">
      <c r="A19" s="1" t="str">
        <v>Actual speed [rpm]</v>
      </c>
      <c r="B19" s="1">
        <v>3000</v>
      </c>
    </row>
    <row r="20" spans="1:2" x14ac:dyDescent="0.45">
      <c r="A20" s="1" t="str">
        <v>Specific speed [-]</v>
      </c>
      <c r="B20" s="1">
        <v>0.32</v>
      </c>
    </row>
    <row r="21" spans="1:2" x14ac:dyDescent="0.45">
      <c r="A21" s="1" t="str">
        <v>Maximum Mach number [-]</v>
      </c>
      <c r="B21" s="1">
        <v>0.83</v>
      </c>
    </row>
    <row r="22" spans="1:2" x14ac:dyDescent="0.45">
      <c r="A22" s="1" t="str">
        <v>Outlet diameter [mm]</v>
      </c>
      <c r="B22" s="1">
        <v>1563.77</v>
      </c>
    </row>
    <row r="23" spans="1:2" x14ac:dyDescent="0.45">
      <c r="A23" s="1" t="str">
        <v>Exit blade speed [m/s]</v>
      </c>
      <c r="B23" s="1">
        <v>245.64</v>
      </c>
    </row>
  </sheetData>
  <mergeCells count="2">
    <mergeCell ref="A1:B1"/>
    <mergeCell ref="A14:B1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Roberto Agromayor</cp:lastModifiedBy>
  <dcterms:created xsi:type="dcterms:W3CDTF">2026-05-27T11:32:01Z</dcterms:created>
  <dcterms:modified xsi:type="dcterms:W3CDTF">2026-05-27T12:14:55Z</dcterms:modified>
</cp:coreProperties>
</file>