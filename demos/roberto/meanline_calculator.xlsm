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tudk-my.sharepoint.com/personal/roagr_dtu_dk/Documents/Roberto/git_projects/turbodash/demos/roberto/"/>
    </mc:Choice>
  </mc:AlternateContent>
  <xr:revisionPtr revIDLastSave="9" documentId="11_4898EBF73FAD677A50FC1B88054DC2DB51DE31F0" xr6:coauthVersionLast="47" xr6:coauthVersionMax="47" xr10:uidLastSave="{CC652CD6-8E01-44A0-9518-10E6946DF194}"/>
  <bookViews>
    <workbookView xWindow="-98" yWindow="-98" windowWidth="28996" windowHeight="15675" xr2:uid="{00000000-000D-0000-FFFF-FFFF00000000}"/>
  </bookViews>
  <sheets>
    <sheet name="meanline_calculator" sheetId="1" r:id="rId1"/>
  </sheets>
  <functionGroups builtInGroupCount="19">
    <functionGroup name="optiSLang Excel Add-In MOP Solve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A44" i="1" a="1"/>
  <c r="A4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<sst xmlns="http://schemas.openxmlformats.org/spreadsheetml/2006/main" count="87" uniqueCount="54">
  <si>
    <t>Input variables</t>
  </si>
  <si>
    <t>Value</t>
  </si>
  <si>
    <t>Unit</t>
  </si>
  <si>
    <t>Fluid &amp; operating conditions</t>
  </si>
  <si>
    <t>fluid_name</t>
  </si>
  <si>
    <t>Pentane</t>
  </si>
  <si>
    <t>-</t>
  </si>
  <si>
    <t>inlet_property_pair</t>
  </si>
  <si>
    <t>QT_INPUTS</t>
  </si>
  <si>
    <t>inlet_property_1</t>
  </si>
  <si>
    <t>inlet_property_2</t>
  </si>
  <si>
    <t>K</t>
  </si>
  <si>
    <t>exit_pressure</t>
  </si>
  <si>
    <t>Pa</t>
  </si>
  <si>
    <t>mass_flow_rate</t>
  </si>
  <si>
    <t>kg/s</t>
  </si>
  <si>
    <t>inlet_flow_angle</t>
  </si>
  <si>
    <t>deg</t>
  </si>
  <si>
    <t>blade_velocity_ratio</t>
  </si>
  <si>
    <t>Machine configuration</t>
  </si>
  <si>
    <t>stage_type</t>
  </si>
  <si>
    <t>radial</t>
  </si>
  <si>
    <t>loss_model</t>
  </si>
  <si>
    <t>benner</t>
  </si>
  <si>
    <t>rotational_speed.type</t>
  </si>
  <si>
    <t>specific</t>
  </si>
  <si>
    <t>rotational_speed.value</t>
  </si>
  <si>
    <t>Stage 1 parameters</t>
  </si>
  <si>
    <t>stage1.work_fraction_split</t>
  </si>
  <si>
    <t>stage1.stator_exit_angle</t>
  </si>
  <si>
    <t>stage1.degree_reaction</t>
  </si>
  <si>
    <t>stage1.meridional_velocity_ratio_12</t>
  </si>
  <si>
    <t>stage1.meridional_velocity_ratio_23</t>
  </si>
  <si>
    <t>stage1.meridional_velocity_ratio_34</t>
  </si>
  <si>
    <t>stage1.radius_ratio_01</t>
  </si>
  <si>
    <t>stage1.radius_ratio_12</t>
  </si>
  <si>
    <t>stage1.radius_ratio_23</t>
  </si>
  <si>
    <t>stage1.radius_ratio_34</t>
  </si>
  <si>
    <t>stage1.zweiffel_stator</t>
  </si>
  <si>
    <t>stage1.zweiffel_rotor</t>
  </si>
  <si>
    <t>Stage 2 parameters</t>
  </si>
  <si>
    <t>stage2.work_fraction_split</t>
  </si>
  <si>
    <t>stage2.stator_exit_angle</t>
  </si>
  <si>
    <t>stage2.degree_reaction</t>
  </si>
  <si>
    <t>stage2.meridional_velocity_ratio_12</t>
  </si>
  <si>
    <t>stage2.meridional_velocity_ratio_23</t>
  </si>
  <si>
    <t>stage2.meridional_velocity_ratio_34</t>
  </si>
  <si>
    <t>stage2.radius_ratio_01</t>
  </si>
  <si>
    <t>stage2.radius_ratio_12</t>
  </si>
  <si>
    <t>stage2.radius_ratio_23</t>
  </si>
  <si>
    <t>stage2.radius_ratio_34</t>
  </si>
  <si>
    <t>stage2.zweiffel_stator</t>
  </si>
  <si>
    <t>stage2.zweiffel_rotor</t>
  </si>
  <si>
    <t>Output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</si>
</sst>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sz val="10"/>
      <color rgb="FF0000FF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4057"/>
      </patternFill>
    </fill>
    <fill>
      <patternFill patternType="solid">
        <fgColor rgb="FFE8EDF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164" fontId="1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0" xfId="0" applyFont="1"/>
    <xf numFmtId="164" fontId="5" fillId="0" borderId="0" xfId="0" applyNumberFormat="1" applyFont="1"/>
    <xf numFmtId="0" fontId="5" fillId="0" borderId="0" xfId="0" applyFont="1" applyAlignment="1">
      <alignment horizontal="center"/>
    </xf>
    <xf numFmtId="0" fontId="3" fillId="3" borderId="1" xfId="0" applyFont="1" applyFill="1" applyBorder="1" applyAlignment="1">
      <alignment vertical="center"/>
    </xf>
    <xf numFmtId="0" fontId="5" fillId="0" borderId="1" xfId="0" applyFont="1" applyBorder="1"/>
    <xf numFmtId="164" fontId="5" fillId="0" borderId="1" xfId="0" applyNumberFormat="1" applyFont="1" applyBorder="1"/>
    <xf numFmtId="0" fontId="5" fillId="0" borderId="1" xfId="0" applyFont="1" applyBorder="1" applyAlignment="1">
      <alignment horizontal="center"/>
    </xf>
    <xf numFmtId="0" fontId="3" fillId="0" borderId="1" xfId="0" applyFont="1" applyBorder="1"/>
    <xf numFmtId="0" fontId="5" fillId="0" borderId="2" xfId="0" applyFont="1" applyBorder="1"/>
    <xf numFmtId="164" fontId="5" fillId="0" borderId="2" xfId="0" applyNumberFormat="1" applyFont="1" applyBorder="1"/>
    <xf numFmtId="0" fontId="5" fillId="0" borderId="2" xfId="0" applyFont="1" applyBorder="1" applyAlignment="1">
      <alignment horizontal="center"/>
    </xf>
    <xf numFmtId="0" fontId="5" fillId="0" borderId="1" xfId="0" applyFont="1" applyFill="1" applyBorder="1"/>
    <xf numFmtId="164" fontId="5" fillId="0" borderId="1" xfId="0" applyNumberFormat="1" applyFont="1" applyFill="1" applyBorder="1"/>
    <xf numFmtId="0" fontId="5" fillId="0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468"/>
  <sheetViews>
    <sheetView tabSelected="1" topLeftCell="A189" workbookViewId="0">
      <selection activeCell="B196" sqref="B196"/>
    </sheetView>
  </sheetViews>
  <sheetFormatPr defaultRowHeight="12.75" x14ac:dyDescent="0.35"/>
  <cols>
    <col min="1" max="1" width="45.46484375" style="5" bestFit="1" customWidth="1"/>
    <col min="2" max="2" width="12.9296875" style="6" customWidth="1"/>
    <col min="3" max="3" width="8.06640625" style="7" customWidth="1"/>
    <col min="4" max="4" width="9.06640625" style="5" customWidth="1"/>
    <col min="5" max="16384" width="9.06640625" style="5"/>
  </cols>
  <sheetData>
    <row r="1" spans="1:3" ht="13.15" customHeight="1" x14ac:dyDescent="0.35">
      <c r="A1" s="4" t="s">
        <v>0</v>
      </c>
      <c r="B1" s="4" t="s">
        <v>1</v>
      </c>
      <c r="C1" s="4" t="s">
        <v>2</v>
      </c>
    </row>
    <row r="2" spans="1:3" x14ac:dyDescent="0.35">
      <c r="A2" s="8" t="s">
        <v>3</v>
      </c>
      <c r="B2" s="8"/>
      <c r="C2" s="8"/>
    </row>
    <row r="3" spans="1:3" x14ac:dyDescent="0.35">
      <c r="A3" s="2" t="s">
        <v>4</v>
      </c>
      <c r="B3" s="1" t="s">
        <v>5</v>
      </c>
      <c r="C3" s="3" t="s">
        <v>6</v>
      </c>
    </row>
    <row r="4" spans="1:3" x14ac:dyDescent="0.35">
      <c r="A4" s="2" t="s">
        <v>7</v>
      </c>
      <c r="B4" s="1" t="s">
        <v>8</v>
      </c>
      <c r="C4" s="3" t="s">
        <v>6</v>
      </c>
    </row>
    <row r="5" spans="1:3" x14ac:dyDescent="0.35">
      <c r="A5" s="2" t="s">
        <v>9</v>
      </c>
      <c r="B5" s="1">
        <v>0.3</v>
      </c>
      <c r="C5" s="3" t="s">
        <v>6</v>
      </c>
    </row>
    <row r="6" spans="1:3" x14ac:dyDescent="0.35">
      <c r="A6" s="2" t="s">
        <v>10</v>
      </c>
      <c r="B6" s="1">
        <f>150+273.15</f>
        <v>423.15</v>
      </c>
      <c r="C6" s="3" t="s">
        <v>11</v>
      </c>
    </row>
    <row r="7" spans="1:3" x14ac:dyDescent="0.35">
      <c r="A7" s="2" t="s">
        <v>12</v>
      </c>
      <c r="B7" s="1">
        <v>100000</v>
      </c>
      <c r="C7" s="3" t="s">
        <v>13</v>
      </c>
    </row>
    <row r="8" spans="1:3" x14ac:dyDescent="0.35">
      <c r="A8" s="2" t="s">
        <v>14</v>
      </c>
      <c r="B8" s="1">
        <v>5</v>
      </c>
      <c r="C8" s="3" t="s">
        <v>15</v>
      </c>
    </row>
    <row r="9" spans="1:3" x14ac:dyDescent="0.35">
      <c r="A9" s="2" t="s">
        <v>16</v>
      </c>
      <c r="B9" s="1">
        <v>0</v>
      </c>
      <c r="C9" s="3" t="s">
        <v>17</v>
      </c>
    </row>
    <row r="10" spans="1:3" x14ac:dyDescent="0.35">
      <c r="A10" s="2" t="s">
        <v>18</v>
      </c>
      <c r="B10" s="1">
        <v>0.3</v>
      </c>
      <c r="C10" s="3" t="s">
        <v>6</v>
      </c>
    </row>
    <row r="11" spans="1:3" x14ac:dyDescent="0.35">
      <c r="A11" s="8" t="s">
        <v>19</v>
      </c>
      <c r="B11" s="8"/>
      <c r="C11" s="8"/>
    </row>
    <row r="12" spans="1:3" x14ac:dyDescent="0.35">
      <c r="A12" s="2" t="s">
        <v>20</v>
      </c>
      <c r="B12" s="1" t="s">
        <v>21</v>
      </c>
      <c r="C12" s="3" t="s">
        <v>6</v>
      </c>
    </row>
    <row r="13" spans="1:3" x14ac:dyDescent="0.35">
      <c r="A13" s="2" t="s">
        <v>22</v>
      </c>
      <c r="B13" s="1" t="s">
        <v>23</v>
      </c>
      <c r="C13" s="3" t="s">
        <v>6</v>
      </c>
    </row>
    <row r="14" spans="1:3" x14ac:dyDescent="0.35">
      <c r="A14" s="2" t="s">
        <v>24</v>
      </c>
      <c r="B14" s="1" t="s">
        <v>25</v>
      </c>
      <c r="C14" s="3" t="s">
        <v>6</v>
      </c>
    </row>
    <row r="15" spans="1:3" x14ac:dyDescent="0.35">
      <c r="A15" s="2" t="s">
        <v>26</v>
      </c>
      <c r="B15" s="1">
        <v>0.3</v>
      </c>
      <c r="C15" s="3" t="s">
        <v>6</v>
      </c>
    </row>
    <row r="16" spans="1:3" x14ac:dyDescent="0.35">
      <c r="A16" s="8" t="s">
        <v>27</v>
      </c>
      <c r="B16" s="8"/>
      <c r="C16" s="8"/>
    </row>
    <row r="17" spans="1:3" x14ac:dyDescent="0.35">
      <c r="A17" s="2" t="s">
        <v>28</v>
      </c>
      <c r="B17" s="1">
        <v>1</v>
      </c>
      <c r="C17" s="3" t="s">
        <v>6</v>
      </c>
    </row>
    <row r="18" spans="1:3" x14ac:dyDescent="0.35">
      <c r="A18" s="2" t="s">
        <v>29</v>
      </c>
      <c r="B18" s="1">
        <v>70</v>
      </c>
      <c r="C18" s="3" t="s">
        <v>17</v>
      </c>
    </row>
    <row r="19" spans="1:3" x14ac:dyDescent="0.35">
      <c r="A19" s="2" t="s">
        <v>30</v>
      </c>
      <c r="B19" s="1">
        <v>0.5</v>
      </c>
      <c r="C19" s="3" t="s">
        <v>6</v>
      </c>
    </row>
    <row r="20" spans="1:3" x14ac:dyDescent="0.35">
      <c r="A20" s="2" t="s">
        <v>31</v>
      </c>
      <c r="B20" s="1">
        <v>1</v>
      </c>
      <c r="C20" s="3" t="s">
        <v>6</v>
      </c>
    </row>
    <row r="21" spans="1:3" x14ac:dyDescent="0.35">
      <c r="A21" s="2" t="s">
        <v>32</v>
      </c>
      <c r="B21" s="1">
        <v>1</v>
      </c>
      <c r="C21" s="3" t="s">
        <v>6</v>
      </c>
    </row>
    <row r="22" spans="1:3" x14ac:dyDescent="0.35">
      <c r="A22" s="2" t="s">
        <v>33</v>
      </c>
      <c r="B22" s="1">
        <v>1</v>
      </c>
      <c r="C22" s="3" t="s">
        <v>6</v>
      </c>
    </row>
    <row r="23" spans="1:3" x14ac:dyDescent="0.35">
      <c r="A23" s="2" t="s">
        <v>34</v>
      </c>
      <c r="B23" s="1">
        <v>1</v>
      </c>
      <c r="C23" s="3" t="s">
        <v>6</v>
      </c>
    </row>
    <row r="24" spans="1:3" x14ac:dyDescent="0.35">
      <c r="A24" s="2" t="s">
        <v>35</v>
      </c>
      <c r="B24" s="1">
        <v>0.75</v>
      </c>
      <c r="C24" s="3" t="s">
        <v>6</v>
      </c>
    </row>
    <row r="25" spans="1:3" x14ac:dyDescent="0.35">
      <c r="A25" s="2" t="s">
        <v>36</v>
      </c>
      <c r="B25" s="1">
        <v>0.95</v>
      </c>
      <c r="C25" s="3" t="s">
        <v>6</v>
      </c>
    </row>
    <row r="26" spans="1:3" x14ac:dyDescent="0.35">
      <c r="A26" s="2" t="s">
        <v>37</v>
      </c>
      <c r="B26" s="1">
        <v>0.8</v>
      </c>
      <c r="C26" s="3" t="s">
        <v>6</v>
      </c>
    </row>
    <row r="27" spans="1:3" x14ac:dyDescent="0.35">
      <c r="A27" s="2" t="s">
        <v>38</v>
      </c>
      <c r="B27" s="1">
        <v>0.7</v>
      </c>
      <c r="C27" s="3" t="s">
        <v>6</v>
      </c>
    </row>
    <row r="28" spans="1:3" x14ac:dyDescent="0.35">
      <c r="A28" s="2" t="s">
        <v>39</v>
      </c>
      <c r="B28" s="1">
        <v>0.7</v>
      </c>
      <c r="C28" s="3" t="s">
        <v>6</v>
      </c>
    </row>
    <row r="29" spans="1:3" ht="13.15" customHeight="1" x14ac:dyDescent="0.35">
      <c r="A29" s="8" t="s">
        <v>40</v>
      </c>
      <c r="B29" s="8"/>
      <c r="C29" s="8"/>
    </row>
    <row r="30" spans="1:3" x14ac:dyDescent="0.35">
      <c r="A30" s="2" t="s">
        <v>41</v>
      </c>
      <c r="B30" s="1">
        <v>1</v>
      </c>
      <c r="C30" s="3" t="s">
        <v>6</v>
      </c>
    </row>
    <row r="31" spans="1:3" x14ac:dyDescent="0.35">
      <c r="A31" s="2" t="s">
        <v>42</v>
      </c>
      <c r="B31" s="1">
        <v>70</v>
      </c>
      <c r="C31" s="3" t="s">
        <v>17</v>
      </c>
    </row>
    <row r="32" spans="1:3" x14ac:dyDescent="0.35">
      <c r="A32" s="2" t="s">
        <v>43</v>
      </c>
      <c r="B32" s="1">
        <v>0.5</v>
      </c>
      <c r="C32" s="3" t="s">
        <v>6</v>
      </c>
    </row>
    <row r="33" spans="1:3" x14ac:dyDescent="0.35">
      <c r="A33" s="2" t="s">
        <v>44</v>
      </c>
      <c r="B33" s="1">
        <v>1</v>
      </c>
      <c r="C33" s="3" t="s">
        <v>6</v>
      </c>
    </row>
    <row r="34" spans="1:3" x14ac:dyDescent="0.35">
      <c r="A34" s="2" t="s">
        <v>45</v>
      </c>
      <c r="B34" s="1">
        <v>1</v>
      </c>
      <c r="C34" s="3" t="s">
        <v>6</v>
      </c>
    </row>
    <row r="35" spans="1:3" x14ac:dyDescent="0.35">
      <c r="A35" s="2" t="s">
        <v>46</v>
      </c>
      <c r="B35" s="1">
        <v>1</v>
      </c>
      <c r="C35" s="3" t="s">
        <v>6</v>
      </c>
    </row>
    <row r="36" spans="1:3" x14ac:dyDescent="0.35">
      <c r="A36" s="2" t="s">
        <v>47</v>
      </c>
      <c r="B36" s="1">
        <v>1</v>
      </c>
      <c r="C36" s="3" t="s">
        <v>6</v>
      </c>
    </row>
    <row r="37" spans="1:3" x14ac:dyDescent="0.35">
      <c r="A37" s="2" t="s">
        <v>48</v>
      </c>
      <c r="B37" s="1">
        <v>0.75</v>
      </c>
      <c r="C37" s="3" t="s">
        <v>6</v>
      </c>
    </row>
    <row r="38" spans="1:3" x14ac:dyDescent="0.35">
      <c r="A38" s="2" t="s">
        <v>49</v>
      </c>
      <c r="B38" s="1">
        <v>0.95</v>
      </c>
      <c r="C38" s="3" t="s">
        <v>6</v>
      </c>
    </row>
    <row r="39" spans="1:3" x14ac:dyDescent="0.35">
      <c r="A39" s="2" t="s">
        <v>50</v>
      </c>
      <c r="B39" s="1">
        <v>0.8</v>
      </c>
      <c r="C39" s="3" t="s">
        <v>6</v>
      </c>
    </row>
    <row r="40" spans="1:3" x14ac:dyDescent="0.35">
      <c r="A40" s="2" t="s">
        <v>51</v>
      </c>
      <c r="B40" s="1">
        <v>0.7</v>
      </c>
      <c r="C40" s="3" t="s">
        <v>6</v>
      </c>
    </row>
    <row r="41" spans="1:3" x14ac:dyDescent="0.35">
      <c r="A41" s="2" t="s">
        <v>52</v>
      </c>
      <c r="B41" s="1">
        <v>0.7</v>
      </c>
      <c r="C41" s="3" t="s">
        <v>6</v>
      </c>
    </row>
    <row r="42" spans="1:3" x14ac:dyDescent="0.35">
      <c r="A42" s="9"/>
      <c r="B42" s="10"/>
      <c r="C42" s="11"/>
    </row>
    <row r="43" spans="1:3" ht="13.15" x14ac:dyDescent="0.35">
      <c r="A43" s="4" t="s">
        <v>53</v>
      </c>
      <c r="B43" s="4" t="s">
        <v>1</v>
      </c>
      <c r="C43" s="4" t="s">
        <v>2</v>
      </c>
    </row>
    <row r="44" spans="1:3" x14ac:dyDescent="0.35">
      <c r="A44" s="12" t="str" cm="1">
        <f t="array" ref="A44:C468">excel_turbine_calculator($A$2:$A$41,$B$2:$B$41)</f>
        <v>Overall performance</v>
      </c>
      <c r="B44" s="10" t="str">
        <v/>
      </c>
      <c r="C44" s="11" t="str">
        <v/>
      </c>
    </row>
    <row r="45" spans="1:3" x14ac:dyDescent="0.35">
      <c r="A45" s="13" t="str">
        <v>overall.efficiency_ts</v>
      </c>
      <c r="B45" s="14">
        <v>75.020334853791553</v>
      </c>
      <c r="C45" s="15" t="str">
        <v>%</v>
      </c>
    </row>
    <row r="46" spans="1:3" x14ac:dyDescent="0.35">
      <c r="A46" s="16" t="str">
        <v>overall.efficiency_tt</v>
      </c>
      <c r="B46" s="17">
        <v>78.360607176381592</v>
      </c>
      <c r="C46" s="18" t="str">
        <v>%</v>
      </c>
    </row>
    <row r="47" spans="1:3" x14ac:dyDescent="0.35">
      <c r="A47" s="16" t="str">
        <v>overall.mass_flow_rate</v>
      </c>
      <c r="B47" s="17">
        <v>5</v>
      </c>
      <c r="C47" s="18" t="str">
        <v>kg/s</v>
      </c>
    </row>
    <row r="48" spans="1:3" x14ac:dyDescent="0.35">
      <c r="A48" s="16" t="str">
        <v>overall.power_isentropic</v>
      </c>
      <c r="B48" s="17">
        <v>344.26547480036533</v>
      </c>
      <c r="C48" s="18" t="str">
        <v>kW</v>
      </c>
    </row>
    <row r="49" spans="1:3" x14ac:dyDescent="0.35">
      <c r="A49" s="16" t="str">
        <v>overall.power_actual</v>
      </c>
      <c r="B49" s="17">
        <v>258.2691119812294</v>
      </c>
      <c r="C49" s="18" t="str">
        <v>kW</v>
      </c>
    </row>
    <row r="50" spans="1:3" x14ac:dyDescent="0.35">
      <c r="A50" s="16" t="str">
        <v>overall.shaft_torque</v>
      </c>
      <c r="B50" s="17">
        <v>245.61554457335964</v>
      </c>
      <c r="C50" s="18" t="str">
        <v>N.m</v>
      </c>
    </row>
    <row r="51" spans="1:3" x14ac:dyDescent="0.35">
      <c r="A51" s="16" t="str">
        <v>overall.rotational_speed</v>
      </c>
      <c r="B51" s="17">
        <v>10041.255139083396</v>
      </c>
      <c r="C51" s="18" t="str">
        <v>rpm</v>
      </c>
    </row>
    <row r="52" spans="1:3" x14ac:dyDescent="0.35">
      <c r="A52" s="16" t="str">
        <v>overall.isentropic_enthalpy_drop</v>
      </c>
      <c r="B52" s="17">
        <v>68.853094960073065</v>
      </c>
      <c r="C52" s="18" t="str">
        <v>kJ/kg</v>
      </c>
    </row>
    <row r="53" spans="1:3" x14ac:dyDescent="0.35">
      <c r="A53" s="16" t="str">
        <v>overall.spouting_velocity</v>
      </c>
      <c r="B53" s="17">
        <v>371.08784663492571</v>
      </c>
      <c r="C53" s="18" t="str">
        <v>m/s</v>
      </c>
    </row>
    <row r="54" spans="1:3" x14ac:dyDescent="0.35">
      <c r="A54" s="16" t="str">
        <v>overall.pressure_ratio_ts</v>
      </c>
      <c r="B54" s="17">
        <v>15.9200351283279</v>
      </c>
      <c r="C54" s="18" t="str">
        <v>-</v>
      </c>
    </row>
    <row r="55" spans="1:3" x14ac:dyDescent="0.35">
      <c r="A55" s="16" t="str">
        <v>overall.volume_ratio_ts</v>
      </c>
      <c r="B55" s="17">
        <v>37.35280794502679</v>
      </c>
      <c r="C55" s="18" t="str">
        <v>-</v>
      </c>
    </row>
    <row r="56" spans="1:3" x14ac:dyDescent="0.35">
      <c r="A56" s="16" t="str">
        <v>overall.exit_blade_speed</v>
      </c>
      <c r="B56" s="17">
        <v>244.13674120718795</v>
      </c>
      <c r="C56" s="18" t="str">
        <v>m/s</v>
      </c>
    </row>
    <row r="57" spans="1:3" x14ac:dyDescent="0.35">
      <c r="A57" s="16" t="str">
        <v>overall.exit_rotor_diameter</v>
      </c>
      <c r="B57" s="17">
        <v>464.35114274390594</v>
      </c>
      <c r="C57" s="18" t="str">
        <v>mm</v>
      </c>
    </row>
    <row r="58" spans="1:3" x14ac:dyDescent="0.35">
      <c r="A58" s="16" t="str">
        <v>overall.specific_speed</v>
      </c>
      <c r="B58" s="17">
        <v>0.30000000000000004</v>
      </c>
      <c r="C58" s="18" t="str">
        <v>-</v>
      </c>
    </row>
    <row r="59" spans="1:3" x14ac:dyDescent="0.35">
      <c r="A59" s="16" t="str">
        <v>overall.blade_velocity_ratio</v>
      </c>
      <c r="B59" s="17">
        <v>0.3</v>
      </c>
      <c r="C59" s="18" t="str">
        <v>-</v>
      </c>
    </row>
    <row r="60" spans="1:3" x14ac:dyDescent="0.35">
      <c r="A60" s="16" t="str">
        <v>overall.flow_coefficient</v>
      </c>
      <c r="B60" s="17" t="str">
        <v>None</v>
      </c>
      <c r="C60" s="18" t="str">
        <v>-</v>
      </c>
    </row>
    <row r="61" spans="1:3" x14ac:dyDescent="0.35">
      <c r="A61" s="16" t="str">
        <v>overall.work_coefficient</v>
      </c>
      <c r="B61" s="17" t="str">
        <v>None</v>
      </c>
      <c r="C61" s="18" t="str">
        <v>-</v>
      </c>
    </row>
    <row r="62" spans="1:3" x14ac:dyDescent="0.35">
      <c r="A62" s="16" t="str">
        <v>overall.degree_reaction</v>
      </c>
      <c r="B62" s="17" t="str">
        <v>None</v>
      </c>
      <c r="C62" s="18" t="str">
        <v>-</v>
      </c>
    </row>
    <row r="63" spans="1:3" x14ac:dyDescent="0.35">
      <c r="A63" s="16" t="str">
        <v>Stage 1 performance</v>
      </c>
      <c r="B63" s="17" t="str">
        <v/>
      </c>
      <c r="C63" s="18" t="str">
        <v/>
      </c>
    </row>
    <row r="64" spans="1:3" x14ac:dyDescent="0.35">
      <c r="A64" s="16" t="str">
        <v>stage1.performance.efficiency_ts</v>
      </c>
      <c r="B64" s="17">
        <v>68.345066858735194</v>
      </c>
      <c r="C64" s="18" t="str">
        <v>%</v>
      </c>
    </row>
    <row r="65" spans="1:3" x14ac:dyDescent="0.35">
      <c r="A65" s="16" t="str">
        <v>stage1.performance.efficiency_tt</v>
      </c>
      <c r="B65" s="17">
        <v>76.821267835726573</v>
      </c>
      <c r="C65" s="18" t="str">
        <v>%</v>
      </c>
    </row>
    <row r="66" spans="1:3" x14ac:dyDescent="0.35">
      <c r="A66" s="16" t="str">
        <v>stage1.performance.loss_coefficient_stator</v>
      </c>
      <c r="B66" s="17">
        <v>0.10875010367513843</v>
      </c>
      <c r="C66" s="18" t="str">
        <v>-</v>
      </c>
    </row>
    <row r="67" spans="1:3" x14ac:dyDescent="0.35">
      <c r="A67" s="16" t="str">
        <v>stage1.performance.loss_coefficient_rotor</v>
      </c>
      <c r="B67" s="17">
        <v>0.27946240828877561</v>
      </c>
      <c r="C67" s="18" t="str">
        <v>-</v>
      </c>
    </row>
    <row r="68" spans="1:3" x14ac:dyDescent="0.35">
      <c r="A68" s="16" t="str">
        <v>stage1.performance.mass_flow_rate</v>
      </c>
      <c r="B68" s="17">
        <v>5</v>
      </c>
      <c r="C68" s="18" t="str">
        <v>kg/s</v>
      </c>
    </row>
    <row r="69" spans="1:3" x14ac:dyDescent="0.35">
      <c r="A69" s="16" t="str">
        <v>stage1.performance.power_isentropic</v>
      </c>
      <c r="B69" s="17">
        <v>172.13273739982512</v>
      </c>
      <c r="C69" s="18" t="str">
        <v>kW</v>
      </c>
    </row>
    <row r="70" spans="1:3" x14ac:dyDescent="0.35">
      <c r="A70" s="16" t="str">
        <v>stage1.performance.power_actual</v>
      </c>
      <c r="B70" s="17">
        <v>113.85391385506691</v>
      </c>
      <c r="C70" s="18" t="str">
        <v>kW</v>
      </c>
    </row>
    <row r="71" spans="1:3" x14ac:dyDescent="0.35">
      <c r="A71" s="16" t="str">
        <v>stage1.performance.shaft_torque</v>
      </c>
      <c r="B71" s="17">
        <v>108.27578582201127</v>
      </c>
      <c r="C71" s="18" t="str">
        <v>N.m</v>
      </c>
    </row>
    <row r="72" spans="1:3" x14ac:dyDescent="0.35">
      <c r="A72" s="16" t="str">
        <v>stage1.performance.rotational_speed</v>
      </c>
      <c r="B72" s="17">
        <v>10041.255139083396</v>
      </c>
      <c r="C72" s="18" t="str">
        <v>rpm</v>
      </c>
    </row>
    <row r="73" spans="1:3" x14ac:dyDescent="0.35">
      <c r="A73" s="16" t="str">
        <v>stage1.performance.isentropic_enthalpy_drop</v>
      </c>
      <c r="B73" s="17">
        <v>34.426547479965024</v>
      </c>
      <c r="C73" s="18" t="str">
        <v>kJ/kg</v>
      </c>
    </row>
    <row r="74" spans="1:3" x14ac:dyDescent="0.35">
      <c r="A74" s="16" t="str">
        <v>stage1.performance.spouting_velocity</v>
      </c>
      <c r="B74" s="17">
        <v>262.39873277119699</v>
      </c>
      <c r="C74" s="18" t="str">
        <v>m/s</v>
      </c>
    </row>
    <row r="75" spans="1:3" x14ac:dyDescent="0.35">
      <c r="A75" s="16" t="str">
        <v>stage1.performance.pressure_ratio_ts</v>
      </c>
      <c r="B75" s="17">
        <v>4.8263668398354138</v>
      </c>
      <c r="C75" s="18" t="str">
        <v>-</v>
      </c>
    </row>
    <row r="76" spans="1:3" x14ac:dyDescent="0.35">
      <c r="A76" s="16" t="str">
        <v>stage1.performance.volume_ratio_ts</v>
      </c>
      <c r="B76" s="17">
        <v>10.607125304806118</v>
      </c>
      <c r="C76" s="18" t="str">
        <v>-</v>
      </c>
    </row>
    <row r="77" spans="1:3" x14ac:dyDescent="0.35">
      <c r="A77" s="16" t="str">
        <v>stage1.performance.exit_blade_speed</v>
      </c>
      <c r="B77" s="17">
        <v>139.15794248809712</v>
      </c>
      <c r="C77" s="18" t="str">
        <v>m/s</v>
      </c>
    </row>
    <row r="78" spans="1:3" x14ac:dyDescent="0.35">
      <c r="A78" s="16" t="str">
        <v>stage1.performance.exit_rotor_diameter</v>
      </c>
      <c r="B78" s="17">
        <v>264.68015136402641</v>
      </c>
      <c r="C78" s="18" t="str">
        <v>mm</v>
      </c>
    </row>
    <row r="79" spans="1:3" x14ac:dyDescent="0.35">
      <c r="A79" s="16" t="str">
        <v>stage1.performance.specific_speed</v>
      </c>
      <c r="B79" s="17">
        <v>0.26886295881433186</v>
      </c>
      <c r="C79" s="18" t="str">
        <v>-</v>
      </c>
    </row>
    <row r="80" spans="1:3" x14ac:dyDescent="0.35">
      <c r="A80" s="16" t="str">
        <v>stage1.performance.blade_velocity_ratio</v>
      </c>
      <c r="B80" s="17">
        <v>0.53033008589046138</v>
      </c>
      <c r="C80" s="18" t="str">
        <v>-</v>
      </c>
    </row>
    <row r="81" spans="1:3" x14ac:dyDescent="0.35">
      <c r="A81" s="16" t="str">
        <v>stage1.performance.flow_coefficient</v>
      </c>
      <c r="B81" s="17">
        <v>0.49306210320535676</v>
      </c>
      <c r="C81" s="18" t="str">
        <v>-</v>
      </c>
    </row>
    <row r="82" spans="1:3" x14ac:dyDescent="0.35">
      <c r="A82" s="16" t="str">
        <v>stage1.performance.work_coefficient</v>
      </c>
      <c r="B82" s="17">
        <v>1.5306661994176038</v>
      </c>
      <c r="C82" s="18" t="str">
        <v>-</v>
      </c>
    </row>
    <row r="83" spans="1:3" x14ac:dyDescent="0.35">
      <c r="A83" s="16" t="str">
        <v>stage1.performance.degree_reaction</v>
      </c>
      <c r="B83" s="17">
        <v>0.5</v>
      </c>
      <c r="C83" s="18" t="str">
        <v>-</v>
      </c>
    </row>
    <row r="84" spans="1:3" x14ac:dyDescent="0.35">
      <c r="A84" s="16" t="str">
        <v>stage1.performance.stator_loss_coefficient</v>
      </c>
      <c r="B84" s="17">
        <v>0.10875010367513843</v>
      </c>
      <c r="C84" s="18" t="str">
        <v>-</v>
      </c>
    </row>
    <row r="85" spans="1:3" x14ac:dyDescent="0.35">
      <c r="A85" s="16" t="str">
        <v>stage1.performance.rotor_loss_coefficient</v>
      </c>
      <c r="B85" s="17">
        <v>0.27946240828877561</v>
      </c>
      <c r="C85" s="18" t="str">
        <v>-</v>
      </c>
    </row>
    <row r="86" spans="1:3" x14ac:dyDescent="0.35">
      <c r="A86" s="16" t="str">
        <v>Stage 1 geometry (stator)</v>
      </c>
      <c r="B86" s="17" t="str">
        <v/>
      </c>
      <c r="C86" s="18" t="str">
        <v/>
      </c>
    </row>
    <row r="87" spans="1:3" x14ac:dyDescent="0.35">
      <c r="A87" s="16" t="str">
        <v>stage1.stator.blade_count</v>
      </c>
      <c r="B87" s="17">
        <v>21</v>
      </c>
      <c r="C87" s="18" t="str">
        <v>-</v>
      </c>
    </row>
    <row r="88" spans="1:3" x14ac:dyDescent="0.35">
      <c r="A88" s="16" t="str">
        <v>stage1.stator.radius_in</v>
      </c>
      <c r="B88" s="17">
        <v>75.433843138747534</v>
      </c>
      <c r="C88" s="18" t="str">
        <v>mm</v>
      </c>
    </row>
    <row r="89" spans="1:3" x14ac:dyDescent="0.35">
      <c r="A89" s="16" t="str">
        <v>stage1.stator.radius_out</v>
      </c>
      <c r="B89" s="17">
        <v>100.57845751833004</v>
      </c>
      <c r="C89" s="18" t="str">
        <v>mm</v>
      </c>
    </row>
    <row r="90" spans="1:3" x14ac:dyDescent="0.35">
      <c r="A90" s="16" t="str">
        <v>stage1.stator.height</v>
      </c>
      <c r="B90" s="17">
        <v>3.3814879505754503</v>
      </c>
      <c r="C90" s="18" t="str">
        <v>mm</v>
      </c>
    </row>
    <row r="91" spans="1:3" x14ac:dyDescent="0.35">
      <c r="A91" s="16" t="str">
        <v>stage1.stator.chord</v>
      </c>
      <c r="B91" s="17">
        <v>30.695906278800237</v>
      </c>
      <c r="C91" s="18" t="str">
        <v>mm</v>
      </c>
    </row>
    <row r="92" spans="1:3" x14ac:dyDescent="0.35">
      <c r="A92" s="16" t="str">
        <v>stage1.stator.chord_meridional</v>
      </c>
      <c r="B92" s="17">
        <v>25.144614379582514</v>
      </c>
      <c r="C92" s="18" t="str">
        <v>mm</v>
      </c>
    </row>
    <row r="93" spans="1:3" x14ac:dyDescent="0.35">
      <c r="A93" s="16" t="str">
        <v>stage1.stator.meridional_chord</v>
      </c>
      <c r="B93" s="17">
        <v>25.144614379582514</v>
      </c>
      <c r="C93" s="18" t="str">
        <v>mm</v>
      </c>
    </row>
    <row r="94" spans="1:3" x14ac:dyDescent="0.35">
      <c r="A94" s="16" t="str">
        <v>stage1.stator.spacing</v>
      </c>
      <c r="B94" s="17">
        <v>26.331378604081561</v>
      </c>
      <c r="C94" s="18" t="str">
        <v>mm</v>
      </c>
    </row>
    <row r="95" spans="1:3" x14ac:dyDescent="0.35">
      <c r="A95" s="16" t="str">
        <v>stage1.stator.pitch</v>
      </c>
      <c r="B95" s="17">
        <v>26.331378604081561</v>
      </c>
      <c r="C95" s="18" t="str">
        <v>mm</v>
      </c>
    </row>
    <row r="96" spans="1:3" x14ac:dyDescent="0.35">
      <c r="A96" s="16" t="str">
        <v>stage1.stator.opening</v>
      </c>
      <c r="B96" s="17">
        <v>14.392098948555727</v>
      </c>
      <c r="C96" s="18" t="str">
        <v>mm</v>
      </c>
    </row>
    <row r="97" spans="1:3" x14ac:dyDescent="0.35">
      <c r="A97" s="16" t="str">
        <v>stage1.stator.solidity</v>
      </c>
      <c r="B97" s="17">
        <v>0.95492965855137224</v>
      </c>
      <c r="C97" s="18" t="str">
        <v>-</v>
      </c>
    </row>
    <row r="98" spans="1:3" x14ac:dyDescent="0.35">
      <c r="A98" s="16" t="str">
        <v>stage1.stator.aspect_ratio</v>
      </c>
      <c r="B98" s="17">
        <v>0.13448159910224061</v>
      </c>
      <c r="C98" s="18" t="str">
        <v>-</v>
      </c>
    </row>
    <row r="99" spans="1:3" x14ac:dyDescent="0.35">
      <c r="A99" s="16" t="str">
        <v>stage1.stator.flaring_angle</v>
      </c>
      <c r="B99" s="17">
        <v>3.7042442461245999</v>
      </c>
      <c r="C99" s="18" t="str">
        <v>deg</v>
      </c>
    </row>
    <row r="100" spans="1:3" x14ac:dyDescent="0.35">
      <c r="A100" s="16" t="str">
        <v>stage1.stator.maximum_thickness</v>
      </c>
      <c r="B100" s="17">
        <v>7.5433843138747534</v>
      </c>
      <c r="C100" s="18" t="str">
        <v>mm</v>
      </c>
    </row>
    <row r="101" spans="1:3" x14ac:dyDescent="0.35">
      <c r="A101" s="16" t="str">
        <v>stage1.stator.maximum_thickness_location</v>
      </c>
      <c r="B101" s="17">
        <v>0.25</v>
      </c>
      <c r="C101" s="18" t="str">
        <v>-</v>
      </c>
    </row>
    <row r="102" spans="1:3" x14ac:dyDescent="0.35">
      <c r="A102" s="16" t="str">
        <v>stage1.stator.leading_edge_radius</v>
      </c>
      <c r="B102" s="17">
        <v>3.7716921569373767</v>
      </c>
      <c r="C102" s="18" t="str">
        <v>mm</v>
      </c>
    </row>
    <row r="103" spans="1:3" x14ac:dyDescent="0.35">
      <c r="A103" s="16" t="str">
        <v>stage1.stator.leading_edge_diameter</v>
      </c>
      <c r="B103" s="17">
        <v>7.5433843138747534</v>
      </c>
      <c r="C103" s="18" t="str">
        <v>mm</v>
      </c>
    </row>
    <row r="104" spans="1:3" x14ac:dyDescent="0.35">
      <c r="A104" s="16" t="str">
        <v>stage1.stator.leading_edge_angle</v>
      </c>
      <c r="B104" s="17">
        <v>0</v>
      </c>
      <c r="C104" s="18" t="str">
        <v>deg</v>
      </c>
    </row>
    <row r="105" spans="1:3" x14ac:dyDescent="0.35">
      <c r="A105" s="16" t="str">
        <v>stage1.stator.leading_edge_wedge_angle</v>
      </c>
      <c r="B105" s="17">
        <v>30</v>
      </c>
      <c r="C105" s="18" t="str">
        <v>deg</v>
      </c>
    </row>
    <row r="106" spans="1:3" x14ac:dyDescent="0.35">
      <c r="A106" s="16" t="str">
        <v>stage1.stator.trailing_edge_thickness</v>
      </c>
      <c r="B106" s="17">
        <v>0.71960494742778636</v>
      </c>
      <c r="C106" s="18" t="str">
        <v>mm</v>
      </c>
    </row>
    <row r="107" spans="1:3" x14ac:dyDescent="0.35">
      <c r="A107" s="16" t="str">
        <v>stage1.stator.trailing_edge_wedge_angle</v>
      </c>
      <c r="B107" s="17">
        <v>10</v>
      </c>
      <c r="C107" s="18" t="str">
        <v>deg</v>
      </c>
    </row>
    <row r="108" spans="1:3" x14ac:dyDescent="0.35">
      <c r="A108" s="16" t="str">
        <v>stage1.stator.stagger_angle</v>
      </c>
      <c r="B108" s="17">
        <v>35</v>
      </c>
      <c r="C108" s="18" t="str">
        <v>deg</v>
      </c>
    </row>
    <row r="109" spans="1:3" x14ac:dyDescent="0.35">
      <c r="A109" s="16" t="str">
        <v>stage1.stator.hub_tip_ratio_in</v>
      </c>
      <c r="B109" s="17">
        <v>0.97702039546233255</v>
      </c>
      <c r="C109" s="18" t="str">
        <v>-</v>
      </c>
    </row>
    <row r="110" spans="1:3" x14ac:dyDescent="0.35">
      <c r="A110" s="16" t="str">
        <v>stage1.stator.tip_clearance</v>
      </c>
      <c r="B110" s="17">
        <v>0</v>
      </c>
      <c r="C110" s="18" t="str">
        <v>mm</v>
      </c>
    </row>
    <row r="111" spans="1:3" x14ac:dyDescent="0.35">
      <c r="A111" s="16" t="str">
        <v>stage1.stator.A_out</v>
      </c>
      <c r="B111" s="17">
        <v>3165.6979771645083</v>
      </c>
      <c r="C111" s="18" t="str">
        <v>mm2</v>
      </c>
    </row>
    <row r="112" spans="1:3" x14ac:dyDescent="0.35">
      <c r="A112" s="16" t="str">
        <v>stage1.stator.A_throat</v>
      </c>
      <c r="B112" s="17">
        <v>1514.0076526923854</v>
      </c>
      <c r="C112" s="18" t="str">
        <v>mm2</v>
      </c>
    </row>
    <row r="113" spans="1:3" x14ac:dyDescent="0.35">
      <c r="A113" s="16" t="str">
        <v>stage1.stator.metal_angle_in</v>
      </c>
      <c r="B113" s="17">
        <v>0</v>
      </c>
      <c r="C113" s="18" t="str">
        <v>deg</v>
      </c>
    </row>
    <row r="114" spans="1:3" x14ac:dyDescent="0.35">
      <c r="A114" s="16" t="str">
        <v>stage1.stator.metal_angle_out</v>
      </c>
      <c r="B114" s="17">
        <v>70</v>
      </c>
      <c r="C114" s="18" t="str">
        <v>deg</v>
      </c>
    </row>
    <row r="115" spans="1:3" x14ac:dyDescent="0.35">
      <c r="A115" s="16" t="str">
        <v>Stage 1 geometry (rotor)</v>
      </c>
      <c r="B115" s="17" t="str">
        <v/>
      </c>
      <c r="C115" s="18" t="str">
        <v/>
      </c>
    </row>
    <row r="116" spans="1:3" x14ac:dyDescent="0.35">
      <c r="A116" s="16" t="str">
        <v>stage1.rotor.blade_count</v>
      </c>
      <c r="B116" s="17">
        <v>32</v>
      </c>
      <c r="C116" s="18" t="str">
        <v>-</v>
      </c>
    </row>
    <row r="117" spans="1:3" x14ac:dyDescent="0.35">
      <c r="A117" s="16" t="str">
        <v>stage1.rotor.radius_in</v>
      </c>
      <c r="B117" s="17">
        <v>105.87206054561058</v>
      </c>
      <c r="C117" s="18" t="str">
        <v>mm</v>
      </c>
    </row>
    <row r="118" spans="1:3" x14ac:dyDescent="0.35">
      <c r="A118" s="16" t="str">
        <v>stage1.rotor.radius_out</v>
      </c>
      <c r="B118" s="17">
        <v>132.34007568201321</v>
      </c>
      <c r="C118" s="18" t="str">
        <v>mm</v>
      </c>
    </row>
    <row r="119" spans="1:3" x14ac:dyDescent="0.35">
      <c r="A119" s="16" t="str">
        <v>stage1.rotor.height</v>
      </c>
      <c r="B119" s="17">
        <v>5.8303796597602284</v>
      </c>
      <c r="C119" s="18" t="str">
        <v>mm</v>
      </c>
    </row>
    <row r="120" spans="1:3" x14ac:dyDescent="0.35">
      <c r="A120" s="16" t="str">
        <v>stage1.rotor.chord</v>
      </c>
      <c r="B120" s="17">
        <v>27.230079261666209</v>
      </c>
      <c r="C120" s="18" t="str">
        <v>mm</v>
      </c>
    </row>
    <row r="121" spans="1:3" x14ac:dyDescent="0.35">
      <c r="A121" s="16" t="str">
        <v>stage1.rotor.chord_meridional</v>
      </c>
      <c r="B121" s="17">
        <v>26.468015136402624</v>
      </c>
      <c r="C121" s="18" t="str">
        <v>mm</v>
      </c>
    </row>
    <row r="122" spans="1:3" x14ac:dyDescent="0.35">
      <c r="A122" s="16" t="str">
        <v>stage1.rotor.meridional_chord</v>
      </c>
      <c r="B122" s="17">
        <v>26.468015136402624</v>
      </c>
      <c r="C122" s="18" t="str">
        <v>mm</v>
      </c>
    </row>
    <row r="123" spans="1:3" x14ac:dyDescent="0.35">
      <c r="A123" s="16" t="str">
        <v>stage1.rotor.spacing</v>
      </c>
      <c r="B123" s="17">
        <v>23.386421786519808</v>
      </c>
      <c r="C123" s="18" t="str">
        <v>mm</v>
      </c>
    </row>
    <row r="124" spans="1:3" x14ac:dyDescent="0.35">
      <c r="A124" s="16" t="str">
        <v>stage1.rotor.pitch</v>
      </c>
      <c r="B124" s="17">
        <v>23.386421786519808</v>
      </c>
      <c r="C124" s="18" t="str">
        <v>mm</v>
      </c>
    </row>
    <row r="125" spans="1:3" x14ac:dyDescent="0.35">
      <c r="A125" s="16" t="str">
        <v>stage1.rotor.opening</v>
      </c>
      <c r="B125" s="17">
        <v>10.489625994419338</v>
      </c>
      <c r="C125" s="18" t="str">
        <v>mm</v>
      </c>
    </row>
    <row r="126" spans="1:3" x14ac:dyDescent="0.35">
      <c r="A126" s="16" t="str">
        <v>stage1.rotor.solidity</v>
      </c>
      <c r="B126" s="17">
        <v>1.1317684842090328</v>
      </c>
      <c r="C126" s="18" t="str">
        <v>-</v>
      </c>
    </row>
    <row r="127" spans="1:3" x14ac:dyDescent="0.35">
      <c r="A127" s="16" t="str">
        <v>stage1.rotor.aspect_ratio</v>
      </c>
      <c r="B127" s="17">
        <v>0.22028019969436435</v>
      </c>
      <c r="C127" s="18" t="str">
        <v>-</v>
      </c>
    </row>
    <row r="128" spans="1:3" x14ac:dyDescent="0.35">
      <c r="A128" s="16" t="str">
        <v>stage1.rotor.flaring_angle</v>
      </c>
      <c r="B128" s="17">
        <v>3.2203714417396001</v>
      </c>
      <c r="C128" s="18" t="str">
        <v>deg</v>
      </c>
    </row>
    <row r="129" spans="1:3" x14ac:dyDescent="0.35">
      <c r="A129" s="16" t="str">
        <v>stage1.rotor.maximum_thickness</v>
      </c>
      <c r="B129" s="17">
        <v>7.9404045409207873</v>
      </c>
      <c r="C129" s="18" t="str">
        <v>mm</v>
      </c>
    </row>
    <row r="130" spans="1:3" x14ac:dyDescent="0.35">
      <c r="A130" s="16" t="str">
        <v>stage1.rotor.maximum_thickness_location</v>
      </c>
      <c r="B130" s="17">
        <v>0.25</v>
      </c>
      <c r="C130" s="18" t="str">
        <v>-</v>
      </c>
    </row>
    <row r="131" spans="1:3" x14ac:dyDescent="0.35">
      <c r="A131" s="16" t="str">
        <v>stage1.rotor.leading_edge_radius</v>
      </c>
      <c r="B131" s="17">
        <v>3.9702022704603936</v>
      </c>
      <c r="C131" s="18" t="str">
        <v>mm</v>
      </c>
    </row>
    <row r="132" spans="1:3" x14ac:dyDescent="0.35">
      <c r="A132" s="16" t="str">
        <v>stage1.rotor.leading_edge_diameter</v>
      </c>
      <c r="B132" s="17">
        <v>7.9404045409207873</v>
      </c>
      <c r="C132" s="18" t="str">
        <v>mm</v>
      </c>
    </row>
    <row r="133" spans="1:3" x14ac:dyDescent="0.35">
      <c r="A133" s="16" t="str">
        <v>stage1.rotor.leading_edge_angle</v>
      </c>
      <c r="B133" s="17">
        <v>44.642261188321768</v>
      </c>
      <c r="C133" s="18" t="str">
        <v>deg</v>
      </c>
    </row>
    <row r="134" spans="1:3" x14ac:dyDescent="0.35">
      <c r="A134" s="16" t="str">
        <v>stage1.rotor.leading_edge_wedge_angle</v>
      </c>
      <c r="B134" s="17">
        <v>30</v>
      </c>
      <c r="C134" s="18" t="str">
        <v>deg</v>
      </c>
    </row>
    <row r="135" spans="1:3" x14ac:dyDescent="0.35">
      <c r="A135" s="16" t="str">
        <v>stage1.rotor.trailing_edge_thickness</v>
      </c>
      <c r="B135" s="17">
        <v>0.52448129972096691</v>
      </c>
      <c r="C135" s="18" t="str">
        <v>mm</v>
      </c>
    </row>
    <row r="136" spans="1:3" x14ac:dyDescent="0.35">
      <c r="A136" s="16" t="str">
        <v>stage1.rotor.trailing_edge_wedge_angle</v>
      </c>
      <c r="B136" s="17">
        <v>10</v>
      </c>
      <c r="C136" s="18" t="str">
        <v>deg</v>
      </c>
    </row>
    <row r="137" spans="1:3" x14ac:dyDescent="0.35">
      <c r="A137" s="16" t="str">
        <v>stage1.rotor.stagger_angle</v>
      </c>
      <c r="B137" s="17">
        <v>-13.587107910302299</v>
      </c>
      <c r="C137" s="18" t="str">
        <v>deg</v>
      </c>
    </row>
    <row r="138" spans="1:3" x14ac:dyDescent="0.35">
      <c r="A138" s="16" t="str">
        <v>stage1.rotor.hub_tip_ratio_in</v>
      </c>
      <c r="B138" s="17">
        <v>0.95982005039413476</v>
      </c>
      <c r="C138" s="18" t="str">
        <v>-</v>
      </c>
    </row>
    <row r="139" spans="1:3" x14ac:dyDescent="0.35">
      <c r="A139" s="16" t="str">
        <v>stage1.rotor.tip_clearance</v>
      </c>
      <c r="B139" s="17">
        <v>5.8303796597602278E-2</v>
      </c>
      <c r="C139" s="18" t="str">
        <v>mm</v>
      </c>
    </row>
    <row r="140" spans="1:3" x14ac:dyDescent="0.35">
      <c r="A140" s="16" t="str">
        <v>stage1.rotor.A_out</v>
      </c>
      <c r="B140" s="17">
        <v>6086.3831789405413</v>
      </c>
      <c r="C140" s="18" t="str">
        <v>mm2</v>
      </c>
    </row>
    <row r="141" spans="1:3" x14ac:dyDescent="0.35">
      <c r="A141" s="16" t="str">
        <v>stage1.rotor.A_throat</v>
      </c>
      <c r="B141" s="17">
        <v>2456.9596584608967</v>
      </c>
      <c r="C141" s="18" t="str">
        <v>mm2</v>
      </c>
    </row>
    <row r="142" spans="1:3" x14ac:dyDescent="0.35">
      <c r="A142" s="16" t="str">
        <v>stage1.rotor.metal_angle_in</v>
      </c>
      <c r="B142" s="17">
        <v>44.642261188321768</v>
      </c>
      <c r="C142" s="18" t="str">
        <v>deg</v>
      </c>
    </row>
    <row r="143" spans="1:3" x14ac:dyDescent="0.35">
      <c r="A143" s="16" t="str">
        <v>stage1.rotor.metal_angle_out</v>
      </c>
      <c r="B143" s="17">
        <v>-71.81647700892637</v>
      </c>
      <c r="C143" s="18" t="str">
        <v>deg</v>
      </c>
    </row>
    <row r="144" spans="1:3" x14ac:dyDescent="0.35">
      <c r="A144" s="16" t="str">
        <v>Stage 1 losses (stator)</v>
      </c>
      <c r="B144" s="17" t="str">
        <v/>
      </c>
      <c r="C144" s="18" t="str">
        <v/>
      </c>
    </row>
    <row r="145" spans="1:3" x14ac:dyDescent="0.35">
      <c r="A145" s="16" t="str">
        <v>stage1.loss.stator.loss_profile</v>
      </c>
      <c r="B145" s="17">
        <v>1.8277961495222712E-2</v>
      </c>
      <c r="C145" s="18" t="str">
        <v>-</v>
      </c>
    </row>
    <row r="146" spans="1:3" x14ac:dyDescent="0.35">
      <c r="A146" s="16" t="str">
        <v>stage1.loss.stator.loss_incidence</v>
      </c>
      <c r="B146" s="17">
        <v>-1.8152989616706357E-7</v>
      </c>
      <c r="C146" s="18" t="str">
        <v>-</v>
      </c>
    </row>
    <row r="147" spans="1:3" x14ac:dyDescent="0.35">
      <c r="A147" s="16" t="str">
        <v>stage1.loss.stator.loss_trailing</v>
      </c>
      <c r="B147" s="17">
        <v>5.9226533765118191E-3</v>
      </c>
      <c r="C147" s="18" t="str">
        <v>-</v>
      </c>
    </row>
    <row r="148" spans="1:3" x14ac:dyDescent="0.35">
      <c r="A148" s="16" t="str">
        <v>stage1.loss.stator.loss_secondary</v>
      </c>
      <c r="B148" s="17">
        <v>8.4549670333300075E-2</v>
      </c>
      <c r="C148" s="18" t="str">
        <v>-</v>
      </c>
    </row>
    <row r="149" spans="1:3" x14ac:dyDescent="0.35">
      <c r="A149" s="16" t="str">
        <v>stage1.loss.stator.loss_clearance</v>
      </c>
      <c r="B149" s="17">
        <v>0</v>
      </c>
      <c r="C149" s="18" t="str">
        <v>-</v>
      </c>
    </row>
    <row r="150" spans="1:3" x14ac:dyDescent="0.35">
      <c r="A150" s="16" t="str">
        <v>stage1.loss.stator.loss_total</v>
      </c>
      <c r="B150" s="17">
        <v>0.10875010367513843</v>
      </c>
      <c r="C150" s="18" t="str">
        <v>-</v>
      </c>
    </row>
    <row r="151" spans="1:3" x14ac:dyDescent="0.35">
      <c r="A151" s="16" t="str">
        <v>stage1.loss.stator.loss_definition</v>
      </c>
      <c r="B151" s="17">
        <v>0</v>
      </c>
      <c r="C151" s="18" t="str">
        <v>-</v>
      </c>
    </row>
    <row r="152" spans="1:3" x14ac:dyDescent="0.35">
      <c r="A152" s="16" t="str">
        <v>stage1.loss.stator.loss_error</v>
      </c>
      <c r="B152" s="17">
        <v>-0.10875010367513843</v>
      </c>
      <c r="C152" s="18" t="str">
        <v>-</v>
      </c>
    </row>
    <row r="153" spans="1:3" x14ac:dyDescent="0.35">
      <c r="A153" s="16" t="str">
        <v>Stage 1 losses (rotor)</v>
      </c>
      <c r="B153" s="17" t="str">
        <v/>
      </c>
      <c r="C153" s="18" t="str">
        <v/>
      </c>
    </row>
    <row r="154" spans="1:3" x14ac:dyDescent="0.35">
      <c r="A154" s="16" t="str">
        <v>stage1.loss.rotor.loss_profile</v>
      </c>
      <c r="B154" s="17">
        <v>3.7367603921877733E-2</v>
      </c>
      <c r="C154" s="18" t="str">
        <v>-</v>
      </c>
    </row>
    <row r="155" spans="1:3" x14ac:dyDescent="0.35">
      <c r="A155" s="16" t="str">
        <v>stage1.loss.rotor.loss_incidence</v>
      </c>
      <c r="B155" s="17">
        <v>-1.538082930327819E-7</v>
      </c>
      <c r="C155" s="18" t="str">
        <v>-</v>
      </c>
    </row>
    <row r="156" spans="1:3" x14ac:dyDescent="0.35">
      <c r="A156" s="16" t="str">
        <v>stage1.loss.rotor.loss_trailing</v>
      </c>
      <c r="B156" s="17">
        <v>4.5099119764532717E-3</v>
      </c>
      <c r="C156" s="18" t="str">
        <v>-</v>
      </c>
    </row>
    <row r="157" spans="1:3" x14ac:dyDescent="0.35">
      <c r="A157" s="16" t="str">
        <v>stage1.loss.rotor.loss_secondary</v>
      </c>
      <c r="B157" s="17">
        <v>8.0381924144768149E-2</v>
      </c>
      <c r="C157" s="18" t="str">
        <v>-</v>
      </c>
    </row>
    <row r="158" spans="1:3" x14ac:dyDescent="0.35">
      <c r="A158" s="16" t="str">
        <v>stage1.loss.rotor.loss_clearance</v>
      </c>
      <c r="B158" s="17">
        <v>0.1572031220539695</v>
      </c>
      <c r="C158" s="18" t="str">
        <v>-</v>
      </c>
    </row>
    <row r="159" spans="1:3" x14ac:dyDescent="0.35">
      <c r="A159" s="16" t="str">
        <v>stage1.loss.rotor.loss_total</v>
      </c>
      <c r="B159" s="17">
        <v>0.27946240828877561</v>
      </c>
      <c r="C159" s="18" t="str">
        <v>-</v>
      </c>
    </row>
    <row r="160" spans="1:3" x14ac:dyDescent="0.35">
      <c r="A160" s="16" t="str">
        <v>stage1.loss.rotor.loss_definition</v>
      </c>
      <c r="B160" s="17">
        <v>0</v>
      </c>
      <c r="C160" s="18" t="str">
        <v>-</v>
      </c>
    </row>
    <row r="161" spans="1:3" x14ac:dyDescent="0.35">
      <c r="A161" s="16" t="str">
        <v>stage1.loss.rotor.loss_error</v>
      </c>
      <c r="B161" s="17">
        <v>-0.27946240828877561</v>
      </c>
      <c r="C161" s="18" t="str">
        <v>-</v>
      </c>
    </row>
    <row r="162" spans="1:3" x14ac:dyDescent="0.35">
      <c r="A162" s="16" t="str">
        <v>Stage 1 flow station 0</v>
      </c>
      <c r="B162" s="17" t="str">
        <v/>
      </c>
      <c r="C162" s="18" t="str">
        <v/>
      </c>
    </row>
    <row r="163" spans="1:3" x14ac:dyDescent="0.35">
      <c r="A163" s="16" t="str">
        <v>stage1.station.0.p</v>
      </c>
      <c r="B163" s="17">
        <v>13.451438441123617</v>
      </c>
      <c r="C163" s="18" t="str">
        <v>bar</v>
      </c>
    </row>
    <row r="164" spans="1:3" x14ac:dyDescent="0.35">
      <c r="A164" s="16" t="str">
        <v>stage1.station.0.T</v>
      </c>
      <c r="B164" s="17">
        <v>413.70382693160309</v>
      </c>
      <c r="C164" s="18" t="str">
        <v>K</v>
      </c>
    </row>
    <row r="165" spans="1:3" x14ac:dyDescent="0.35">
      <c r="A165" s="16" t="str">
        <v>stage1.station.0.d</v>
      </c>
      <c r="B165" s="17">
        <v>87.677195139201558</v>
      </c>
      <c r="C165" s="18" t="str">
        <v>kg/m3</v>
      </c>
    </row>
    <row r="166" spans="1:3" x14ac:dyDescent="0.35">
      <c r="A166" s="16" t="str">
        <v>stage1.station.0.q</v>
      </c>
      <c r="B166" s="17">
        <v>0.39272177340290165</v>
      </c>
      <c r="C166" s="18" t="str">
        <v>-</v>
      </c>
    </row>
    <row r="167" spans="1:3" x14ac:dyDescent="0.35">
      <c r="A167" s="16" t="str">
        <v>stage1.station.0.Z</v>
      </c>
      <c r="B167" s="17">
        <v>0.32180107913303363</v>
      </c>
      <c r="C167" s="18" t="str">
        <v>-</v>
      </c>
    </row>
    <row r="168" spans="1:3" x14ac:dyDescent="0.35">
      <c r="A168" s="16" t="str">
        <v>stage1.station.0.a</v>
      </c>
      <c r="B168" s="17">
        <v>87.294819523764588</v>
      </c>
      <c r="C168" s="18" t="str">
        <v>m/s</v>
      </c>
    </row>
    <row r="169" spans="1:3" x14ac:dyDescent="0.35">
      <c r="A169" s="16" t="str">
        <v>stage1.station.0.h</v>
      </c>
      <c r="B169" s="17">
        <v>374722.0716868497</v>
      </c>
      <c r="C169" s="18" t="str">
        <v>J/kg</v>
      </c>
    </row>
    <row r="170" spans="1:3" x14ac:dyDescent="0.35">
      <c r="A170" s="16" t="str">
        <v>stage1.station.0.s</v>
      </c>
      <c r="B170" s="17">
        <v>998.06178797657708</v>
      </c>
      <c r="C170" s="18" t="str">
        <v>J/kg/K</v>
      </c>
    </row>
    <row r="171" spans="1:3" x14ac:dyDescent="0.35">
      <c r="A171" s="16" t="str">
        <v>stage1.station.0.v</v>
      </c>
      <c r="B171" s="17">
        <v>68.613507800911236</v>
      </c>
      <c r="C171" s="18" t="str">
        <v>m/s</v>
      </c>
    </row>
    <row r="172" spans="1:3" x14ac:dyDescent="0.35">
      <c r="A172" s="16" t="str">
        <v>stage1.station.0.w</v>
      </c>
      <c r="B172" s="17">
        <v>68.613507800911236</v>
      </c>
      <c r="C172" s="18" t="str">
        <v>m/s</v>
      </c>
    </row>
    <row r="173" spans="1:3" x14ac:dyDescent="0.35">
      <c r="A173" s="16" t="str">
        <v>stage1.station.0.u</v>
      </c>
      <c r="B173" s="17">
        <v>0</v>
      </c>
      <c r="C173" s="18" t="str">
        <v>m/s</v>
      </c>
    </row>
    <row r="174" spans="1:3" x14ac:dyDescent="0.35">
      <c r="A174" s="16" t="str">
        <v>stage1.station.0.v_m</v>
      </c>
      <c r="B174" s="17">
        <v>68.613507800911236</v>
      </c>
      <c r="C174" s="18" t="str">
        <v>m/s</v>
      </c>
    </row>
    <row r="175" spans="1:3" x14ac:dyDescent="0.35">
      <c r="A175" s="16" t="str">
        <v>stage1.station.0.v_t</v>
      </c>
      <c r="B175" s="17">
        <v>0</v>
      </c>
      <c r="C175" s="18" t="str">
        <v>m/s</v>
      </c>
    </row>
    <row r="176" spans="1:3" x14ac:dyDescent="0.35">
      <c r="A176" s="16" t="str">
        <v>stage1.station.0.w_m</v>
      </c>
      <c r="B176" s="17">
        <v>68.613507800911236</v>
      </c>
      <c r="C176" s="18" t="str">
        <v>m/s</v>
      </c>
    </row>
    <row r="177" spans="1:3" x14ac:dyDescent="0.35">
      <c r="A177" s="16" t="str">
        <v>stage1.station.0.w_t</v>
      </c>
      <c r="B177" s="17">
        <v>0</v>
      </c>
      <c r="C177" s="18" t="str">
        <v>m/s</v>
      </c>
    </row>
    <row r="178" spans="1:3" x14ac:dyDescent="0.35">
      <c r="A178" s="16" t="str">
        <v>stage1.station.0.alpha</v>
      </c>
      <c r="B178" s="17">
        <v>0</v>
      </c>
      <c r="C178" s="18" t="str">
        <v>deg</v>
      </c>
    </row>
    <row r="179" spans="1:3" x14ac:dyDescent="0.35">
      <c r="A179" s="16" t="str">
        <v>stage1.station.0.beta</v>
      </c>
      <c r="B179" s="17">
        <v>0</v>
      </c>
      <c r="C179" s="18" t="str">
        <v>deg</v>
      </c>
    </row>
    <row r="180" spans="1:3" x14ac:dyDescent="0.35">
      <c r="A180" s="16" t="str">
        <v>stage1.station.0.Ma_abs</v>
      </c>
      <c r="B180" s="17">
        <v>0.78599747585516611</v>
      </c>
      <c r="C180" s="18" t="str">
        <v>-</v>
      </c>
    </row>
    <row r="181" spans="1:3" x14ac:dyDescent="0.35">
      <c r="A181" s="16" t="str">
        <v>stage1.station.0.Ma_rel</v>
      </c>
      <c r="B181" s="17">
        <v>0.78599747585516611</v>
      </c>
      <c r="C181" s="18" t="str">
        <v>-</v>
      </c>
    </row>
    <row r="182" spans="1:3" x14ac:dyDescent="0.35">
      <c r="A182" s="16" t="str">
        <v>stage1.station.0.Re</v>
      </c>
      <c r="B182" s="17">
        <v>13636425.238962559</v>
      </c>
      <c r="C182" s="18" t="str">
        <v>-</v>
      </c>
    </row>
    <row r="183" spans="1:3" x14ac:dyDescent="0.35">
      <c r="A183" s="16" t="str">
        <v>stage1.station.0.p0_rel</v>
      </c>
      <c r="B183" s="17">
        <v>15.920035128475172</v>
      </c>
      <c r="C183" s="18" t="str">
        <v>bar</v>
      </c>
    </row>
    <row r="184" spans="1:3" x14ac:dyDescent="0.35">
      <c r="A184" s="16" t="str">
        <v>stage1.station.0.r</v>
      </c>
      <c r="B184" s="17">
        <v>75.433843138747534</v>
      </c>
      <c r="C184" s="18" t="str">
        <v>mm</v>
      </c>
    </row>
    <row r="185" spans="1:3" x14ac:dyDescent="0.35">
      <c r="A185" s="16" t="str">
        <v>stage1.station.0.H</v>
      </c>
      <c r="B185" s="17">
        <v>1.7535882665282159</v>
      </c>
      <c r="C185" s="18" t="str">
        <v>mm</v>
      </c>
    </row>
    <row r="186" spans="1:3" x14ac:dyDescent="0.35">
      <c r="A186" s="16" t="str">
        <v>stage1.station.0.I</v>
      </c>
      <c r="B186" s="17">
        <v>377075.97841319465</v>
      </c>
      <c r="C186" s="18" t="str">
        <v>J/kg</v>
      </c>
    </row>
    <row r="187" spans="1:3" x14ac:dyDescent="0.35">
      <c r="A187" s="16" t="str">
        <v>stage1.station.0.h0</v>
      </c>
      <c r="B187" s="17">
        <v>377075.97841322253</v>
      </c>
      <c r="C187" s="18" t="str">
        <v>J/kg</v>
      </c>
    </row>
    <row r="188" spans="1:3" x14ac:dyDescent="0.35">
      <c r="A188" s="16" t="str">
        <v>Stage 1 flow station 1</v>
      </c>
      <c r="B188" s="17" t="str">
        <v/>
      </c>
      <c r="C188" s="18" t="str">
        <v/>
      </c>
    </row>
    <row r="189" spans="1:3" x14ac:dyDescent="0.35">
      <c r="A189" s="16" t="str">
        <v>stage1.station.1.p</v>
      </c>
      <c r="B189" s="17">
        <v>5.6855424704699304</v>
      </c>
      <c r="C189" s="18" t="str">
        <v>bar</v>
      </c>
    </row>
    <row r="190" spans="1:3" x14ac:dyDescent="0.35">
      <c r="A190" s="16" t="str">
        <v>stage1.station.1.T</v>
      </c>
      <c r="B190" s="17">
        <v>371.28288675455667</v>
      </c>
      <c r="C190" s="18" t="str">
        <v>K</v>
      </c>
    </row>
    <row r="191" spans="1:3" x14ac:dyDescent="0.35">
      <c r="A191" s="16" t="str">
        <v>stage1.station.1.d</v>
      </c>
      <c r="B191" s="17">
        <v>23.019235860620704</v>
      </c>
      <c r="C191" s="18" t="str">
        <v>kg/m3</v>
      </c>
    </row>
    <row r="192" spans="1:3" x14ac:dyDescent="0.35">
      <c r="A192" s="16" t="str">
        <v>stage1.station.1.q</v>
      </c>
      <c r="B192" s="17">
        <v>0.66741472436855886</v>
      </c>
      <c r="C192" s="18" t="str">
        <v>-</v>
      </c>
    </row>
    <row r="193" spans="1:3" x14ac:dyDescent="0.35">
      <c r="A193" s="16" t="str">
        <v>stage1.station.1.Z</v>
      </c>
      <c r="B193" s="17">
        <v>0.57725941779784806</v>
      </c>
      <c r="C193" s="18" t="str">
        <v>-</v>
      </c>
    </row>
    <row r="194" spans="1:3" x14ac:dyDescent="0.35">
      <c r="A194" s="16" t="str">
        <v>stage1.station.1.a</v>
      </c>
      <c r="B194" s="17">
        <v>138.76365123528504</v>
      </c>
      <c r="C194" s="18" t="str">
        <v>m/s</v>
      </c>
    </row>
    <row r="195" spans="1:3" x14ac:dyDescent="0.35">
      <c r="A195" s="16" t="str">
        <v>stage1.station.1.h</v>
      </c>
      <c r="B195" s="17">
        <v>356953.2956460283</v>
      </c>
      <c r="C195" s="18" t="str">
        <v>J/kg</v>
      </c>
    </row>
    <row r="196" spans="1:3" x14ac:dyDescent="0.35">
      <c r="A196" s="16" t="str">
        <v>stage1.station.1.s</v>
      </c>
      <c r="B196" s="17">
        <v>998.06178797657708</v>
      </c>
      <c r="C196" s="18" t="str">
        <v>J/kg/K</v>
      </c>
    </row>
    <row r="197" spans="1:3" x14ac:dyDescent="0.35">
      <c r="A197" s="16" t="str">
        <v>stage1.station.1.v</v>
      </c>
      <c r="B197" s="17">
        <v>200.61247601892853</v>
      </c>
      <c r="C197" s="18" t="str">
        <v>m/s</v>
      </c>
    </row>
    <row r="198" spans="1:3" x14ac:dyDescent="0.35">
      <c r="A198" s="16" t="str">
        <v>stage1.station.1.w</v>
      </c>
      <c r="B198" s="17">
        <v>200.61247601892853</v>
      </c>
      <c r="C198" s="18" t="str">
        <v>m/s</v>
      </c>
    </row>
    <row r="199" spans="1:3" x14ac:dyDescent="0.35">
      <c r="A199" s="16" t="str">
        <v>stage1.station.1.u</v>
      </c>
      <c r="B199" s="17">
        <v>0</v>
      </c>
      <c r="C199" s="18" t="str">
        <v>m/s</v>
      </c>
    </row>
    <row r="200" spans="1:3" x14ac:dyDescent="0.35">
      <c r="A200" s="16" t="str">
        <v>stage1.station.1.v_m</v>
      </c>
      <c r="B200" s="17">
        <v>68.613507800911236</v>
      </c>
      <c r="C200" s="18" t="str">
        <v>m/s</v>
      </c>
    </row>
    <row r="201" spans="1:3" x14ac:dyDescent="0.35">
      <c r="A201" s="16" t="str">
        <v>stage1.station.1.v_t</v>
      </c>
      <c r="B201" s="17">
        <v>188.51406335257712</v>
      </c>
      <c r="C201" s="18" t="str">
        <v>m/s</v>
      </c>
    </row>
    <row r="202" spans="1:3" x14ac:dyDescent="0.35">
      <c r="A202" s="16" t="str">
        <v>stage1.station.1.w_m</v>
      </c>
      <c r="B202" s="17">
        <v>68.613507800911236</v>
      </c>
      <c r="C202" s="18" t="str">
        <v>m/s</v>
      </c>
    </row>
    <row r="203" spans="1:3" x14ac:dyDescent="0.35">
      <c r="A203" s="16" t="str">
        <v>stage1.station.1.w_t</v>
      </c>
      <c r="B203" s="17">
        <v>188.51406335257712</v>
      </c>
      <c r="C203" s="18" t="str">
        <v>m/s</v>
      </c>
    </row>
    <row r="204" spans="1:3" x14ac:dyDescent="0.35">
      <c r="A204" s="16" t="str">
        <v>stage1.station.1.alpha</v>
      </c>
      <c r="B204" s="17">
        <v>70</v>
      </c>
      <c r="C204" s="18" t="str">
        <v>deg</v>
      </c>
    </row>
    <row r="205" spans="1:3" x14ac:dyDescent="0.35">
      <c r="A205" s="16" t="str">
        <v>stage1.station.1.beta</v>
      </c>
      <c r="B205" s="17">
        <v>70</v>
      </c>
      <c r="C205" s="18" t="str">
        <v>deg</v>
      </c>
    </row>
    <row r="206" spans="1:3" x14ac:dyDescent="0.35">
      <c r="A206" s="16" t="str">
        <v>stage1.station.1.Ma_abs</v>
      </c>
      <c r="B206" s="17">
        <v>1.4457134432040404</v>
      </c>
      <c r="C206" s="18" t="str">
        <v>-</v>
      </c>
    </row>
    <row r="207" spans="1:3" x14ac:dyDescent="0.35">
      <c r="A207" s="16" t="str">
        <v>stage1.station.1.Ma_rel</v>
      </c>
      <c r="B207" s="17">
        <v>1.4457134432040404</v>
      </c>
      <c r="C207" s="18" t="str">
        <v>-</v>
      </c>
    </row>
    <row r="208" spans="1:3" x14ac:dyDescent="0.35">
      <c r="A208" s="16" t="str">
        <v>stage1.station.1.Re</v>
      </c>
      <c r="B208" s="17">
        <v>15646390.877558276</v>
      </c>
      <c r="C208" s="18" t="str">
        <v>-</v>
      </c>
    </row>
    <row r="209" spans="1:3" x14ac:dyDescent="0.35">
      <c r="A209" s="16" t="str">
        <v>stage1.station.1.p0_rel</v>
      </c>
      <c r="B209" s="17">
        <v>15.920035128511259</v>
      </c>
      <c r="C209" s="18" t="str">
        <v>bar</v>
      </c>
    </row>
    <row r="210" spans="1:3" x14ac:dyDescent="0.35">
      <c r="A210" s="16" t="str">
        <v>stage1.station.1.r</v>
      </c>
      <c r="B210" s="17">
        <v>100.57845751833004</v>
      </c>
      <c r="C210" s="18" t="str">
        <v>mm</v>
      </c>
    </row>
    <row r="211" spans="1:3" x14ac:dyDescent="0.35">
      <c r="A211" s="16" t="str">
        <v>stage1.station.1.H</v>
      </c>
      <c r="B211" s="17">
        <v>5.0093876346226844</v>
      </c>
      <c r="C211" s="18" t="str">
        <v>mm</v>
      </c>
    </row>
    <row r="212" spans="1:3" x14ac:dyDescent="0.35">
      <c r="A212" s="16" t="str">
        <v>stage1.station.1.I</v>
      </c>
      <c r="B212" s="17">
        <v>377075.97841319465</v>
      </c>
      <c r="C212" s="18" t="str">
        <v>J/kg</v>
      </c>
    </row>
    <row r="213" spans="1:3" x14ac:dyDescent="0.35">
      <c r="A213" s="16" t="str">
        <v>stage1.station.1.h0</v>
      </c>
      <c r="B213" s="17">
        <v>377075.97841325088</v>
      </c>
      <c r="C213" s="18" t="str">
        <v>J/kg</v>
      </c>
    </row>
    <row r="214" spans="1:3" x14ac:dyDescent="0.35">
      <c r="A214" s="16" t="str">
        <v>Stage 1 flow station 2</v>
      </c>
      <c r="B214" s="17" t="str">
        <v/>
      </c>
      <c r="C214" s="18" t="str">
        <v/>
      </c>
    </row>
    <row r="215" spans="1:3" x14ac:dyDescent="0.35">
      <c r="A215" s="16" t="str">
        <v>stage1.station.2.p</v>
      </c>
      <c r="B215" s="17">
        <v>6.1030997006056511</v>
      </c>
      <c r="C215" s="18" t="str">
        <v>bar</v>
      </c>
    </row>
    <row r="216" spans="1:3" x14ac:dyDescent="0.35">
      <c r="A216" s="16" t="str">
        <v>stage1.station.2.T</v>
      </c>
      <c r="B216" s="17">
        <v>374.43242302703635</v>
      </c>
      <c r="C216" s="18" t="str">
        <v>K</v>
      </c>
    </row>
    <row r="217" spans="1:3" x14ac:dyDescent="0.35">
      <c r="A217" s="16" t="str">
        <v>stage1.station.2.d</v>
      </c>
      <c r="B217" s="17">
        <v>25.234493667056991</v>
      </c>
      <c r="C217" s="18" t="str">
        <v>kg/m3</v>
      </c>
    </row>
    <row r="218" spans="1:3" x14ac:dyDescent="0.35">
      <c r="A218" s="16" t="str">
        <v>stage1.station.2.q</v>
      </c>
      <c r="B218" s="17">
        <v>0.65231509250538044</v>
      </c>
      <c r="C218" s="18" t="str">
        <v>-</v>
      </c>
    </row>
    <row r="219" spans="1:3" x14ac:dyDescent="0.35">
      <c r="A219" s="16" t="str">
        <v>stage1.station.2.Z</v>
      </c>
      <c r="B219" s="17">
        <v>0.56050226933812242</v>
      </c>
      <c r="C219" s="18" t="str">
        <v>-</v>
      </c>
    </row>
    <row r="220" spans="1:3" x14ac:dyDescent="0.35">
      <c r="A220" s="16" t="str">
        <v>stage1.station.2.a</v>
      </c>
      <c r="B220" s="17">
        <v>135.83958242661151</v>
      </c>
      <c r="C220" s="18" t="str">
        <v>m/s</v>
      </c>
    </row>
    <row r="221" spans="1:3" x14ac:dyDescent="0.35">
      <c r="A221" s="16" t="str">
        <v>stage1.station.2.h</v>
      </c>
      <c r="B221" s="17">
        <v>358685.75130990084</v>
      </c>
      <c r="C221" s="18" t="str">
        <v>J/kg</v>
      </c>
    </row>
    <row r="222" spans="1:3" x14ac:dyDescent="0.35">
      <c r="A222" s="16" t="str">
        <v>stage1.station.2.s</v>
      </c>
      <c r="B222" s="17">
        <v>998.06178797657708</v>
      </c>
      <c r="C222" s="18" t="str">
        <v>J/kg/K</v>
      </c>
    </row>
    <row r="223" spans="1:3" x14ac:dyDescent="0.35">
      <c r="A223" s="16" t="str">
        <v>stage1.station.2.v</v>
      </c>
      <c r="B223" s="17">
        <v>191.78230942002838</v>
      </c>
      <c r="C223" s="18" t="str">
        <v>m/s</v>
      </c>
    </row>
    <row r="224" spans="1:3" x14ac:dyDescent="0.35">
      <c r="A224" s="16" t="str">
        <v>stage1.station.2.w</v>
      </c>
      <c r="B224" s="17">
        <v>96.433930419978097</v>
      </c>
      <c r="C224" s="18" t="str">
        <v>m/s</v>
      </c>
    </row>
    <row r="225" spans="1:3" x14ac:dyDescent="0.35">
      <c r="A225" s="16" t="str">
        <v>stage1.station.2.u</v>
      </c>
      <c r="B225" s="17">
        <v>111.32635399047771</v>
      </c>
      <c r="C225" s="18" t="str">
        <v>m/s</v>
      </c>
    </row>
    <row r="226" spans="1:3" x14ac:dyDescent="0.35">
      <c r="A226" s="16" t="str">
        <v>stage1.station.2.v_m</v>
      </c>
      <c r="B226" s="17">
        <v>68.613507800911236</v>
      </c>
      <c r="C226" s="18" t="str">
        <v>m/s</v>
      </c>
    </row>
    <row r="227" spans="1:3" x14ac:dyDescent="0.35">
      <c r="A227" s="16" t="str">
        <v>stage1.station.2.v_t</v>
      </c>
      <c r="B227" s="17">
        <v>179.08836018494836</v>
      </c>
      <c r="C227" s="18" t="str">
        <v>m/s</v>
      </c>
    </row>
    <row r="228" spans="1:3" x14ac:dyDescent="0.35">
      <c r="A228" s="16" t="str">
        <v>stage1.station.2.w_m</v>
      </c>
      <c r="B228" s="17">
        <v>68.613507800911236</v>
      </c>
      <c r="C228" s="18" t="str">
        <v>m/s</v>
      </c>
    </row>
    <row r="229" spans="1:3" x14ac:dyDescent="0.35">
      <c r="A229" s="16" t="str">
        <v>stage1.station.2.w_t</v>
      </c>
      <c r="B229" s="17">
        <v>67.762006194470587</v>
      </c>
      <c r="C229" s="18" t="str">
        <v>m/s</v>
      </c>
    </row>
    <row r="230" spans="1:3" x14ac:dyDescent="0.35">
      <c r="A230" s="16" t="str">
        <v>stage1.station.2.alpha</v>
      </c>
      <c r="B230" s="17">
        <v>69.036836565754541</v>
      </c>
      <c r="C230" s="18" t="str">
        <v>deg</v>
      </c>
    </row>
    <row r="231" spans="1:3" x14ac:dyDescent="0.35">
      <c r="A231" s="16" t="str">
        <v>stage1.station.2.beta</v>
      </c>
      <c r="B231" s="17">
        <v>44.642261188321768</v>
      </c>
      <c r="C231" s="18" t="str">
        <v>deg</v>
      </c>
    </row>
    <row r="232" spans="1:3" x14ac:dyDescent="0.35">
      <c r="A232" s="16" t="str">
        <v>stage1.station.2.Ma_abs</v>
      </c>
      <c r="B232" s="17">
        <v>1.4118293504298749</v>
      </c>
      <c r="C232" s="18" t="str">
        <v>-</v>
      </c>
    </row>
    <row r="233" spans="1:3" x14ac:dyDescent="0.35">
      <c r="A233" s="16" t="str">
        <v>stage1.station.2.Ma_rel</v>
      </c>
      <c r="B233" s="17">
        <v>0.70991038618715829</v>
      </c>
      <c r="C233" s="18" t="str">
        <v>-</v>
      </c>
    </row>
    <row r="234" spans="1:3" x14ac:dyDescent="0.35">
      <c r="A234" s="16" t="str">
        <v>stage1.station.2.Re</v>
      </c>
      <c r="B234" s="17">
        <v>7179359.4151810938</v>
      </c>
      <c r="C234" s="18" t="str">
        <v>-</v>
      </c>
    </row>
    <row r="235" spans="1:3" x14ac:dyDescent="0.35">
      <c r="A235" s="16" t="str">
        <v>stage1.station.2.p0_rel</v>
      </c>
      <c r="B235" s="17">
        <v>7.4456024376394661</v>
      </c>
      <c r="C235" s="18" t="str">
        <v>bar</v>
      </c>
    </row>
    <row r="236" spans="1:3" x14ac:dyDescent="0.35">
      <c r="A236" s="16" t="str">
        <v>stage1.station.2.r</v>
      </c>
      <c r="B236" s="17">
        <v>105.87206054561058</v>
      </c>
      <c r="C236" s="18" t="str">
        <v>mm</v>
      </c>
    </row>
    <row r="237" spans="1:3" x14ac:dyDescent="0.35">
      <c r="A237" s="16" t="str">
        <v>stage1.station.2.H</v>
      </c>
      <c r="B237" s="17">
        <v>4.341147603359051</v>
      </c>
      <c r="C237" s="18" t="str">
        <v>mm</v>
      </c>
    </row>
    <row r="238" spans="1:3" x14ac:dyDescent="0.35">
      <c r="A238" s="16" t="str">
        <v>stage1.station.2.I</v>
      </c>
      <c r="B238" s="17">
        <v>357138.7242316709</v>
      </c>
      <c r="C238" s="18" t="str">
        <v>J/kg</v>
      </c>
    </row>
    <row r="239" spans="1:3" x14ac:dyDescent="0.35">
      <c r="A239" s="16" t="str">
        <v>stage1.station.2.h0</v>
      </c>
      <c r="B239" s="17">
        <v>377075.97841314058</v>
      </c>
      <c r="C239" s="18" t="str">
        <v>J/kg</v>
      </c>
    </row>
    <row r="240" spans="1:3" x14ac:dyDescent="0.35">
      <c r="A240" s="16" t="str">
        <v>Stage 1 flow station 3</v>
      </c>
      <c r="B240" s="17" t="str">
        <v/>
      </c>
      <c r="C240" s="18" t="str">
        <v/>
      </c>
    </row>
    <row r="241" spans="1:3" x14ac:dyDescent="0.35">
      <c r="A241" s="16" t="str">
        <v>stage1.station.3.p</v>
      </c>
      <c r="B241" s="17">
        <v>3.2985547217473146</v>
      </c>
      <c r="C241" s="18" t="str">
        <v>bar</v>
      </c>
    </row>
    <row r="242" spans="1:3" x14ac:dyDescent="0.35">
      <c r="A242" s="16" t="str">
        <v>stage1.station.3.T</v>
      </c>
      <c r="B242" s="17">
        <v>348.8635779461174</v>
      </c>
      <c r="C242" s="18" t="str">
        <v>K</v>
      </c>
    </row>
    <row r="243" spans="1:3" x14ac:dyDescent="0.35">
      <c r="A243" s="16" t="str">
        <v>stage1.station.3.d</v>
      </c>
      <c r="B243" s="17">
        <v>11.972947850536828</v>
      </c>
      <c r="C243" s="18" t="str">
        <v>kg/m3</v>
      </c>
    </row>
    <row r="244" spans="1:3" x14ac:dyDescent="0.35">
      <c r="A244" s="16" t="str">
        <v>stage1.station.3.q</v>
      </c>
      <c r="B244" s="17">
        <v>0.75826039974357062</v>
      </c>
      <c r="C244" s="18" t="str">
        <v>-</v>
      </c>
    </row>
    <row r="245" spans="1:3" x14ac:dyDescent="0.35">
      <c r="A245" s="16" t="str">
        <v>stage1.station.3.Z</v>
      </c>
      <c r="B245" s="17">
        <v>0.68527032528862974</v>
      </c>
      <c r="C245" s="18" t="str">
        <v>-</v>
      </c>
    </row>
    <row r="246" spans="1:3" x14ac:dyDescent="0.35">
      <c r="A246" s="16" t="str">
        <v>stage1.station.3.a</v>
      </c>
      <c r="B246" s="17">
        <v>155.81090939308609</v>
      </c>
      <c r="C246" s="18" t="str">
        <v>m/s</v>
      </c>
    </row>
    <row r="247" spans="1:3" x14ac:dyDescent="0.35">
      <c r="A247" s="16" t="str">
        <v>stage1.station.3.h</v>
      </c>
      <c r="B247" s="17">
        <v>342649.43093322963</v>
      </c>
      <c r="C247" s="18" t="str">
        <v>J/kg</v>
      </c>
    </row>
    <row r="248" spans="1:3" x14ac:dyDescent="0.35">
      <c r="A248" s="16" t="str">
        <v>stage1.station.3.s</v>
      </c>
      <c r="B248" s="17">
        <v>998.06178797657708</v>
      </c>
      <c r="C248" s="18" t="str">
        <v>J/kg/K</v>
      </c>
    </row>
    <row r="249" spans="1:3" x14ac:dyDescent="0.35">
      <c r="A249" s="16" t="str">
        <v>stage1.station.3.v</v>
      </c>
      <c r="B249" s="17">
        <v>97.829434710824231</v>
      </c>
      <c r="C249" s="18" t="str">
        <v>m/s</v>
      </c>
    </row>
    <row r="250" spans="1:3" x14ac:dyDescent="0.35">
      <c r="A250" s="16" t="str">
        <v>stage1.station.3.w</v>
      </c>
      <c r="B250" s="17">
        <v>219.87159788022447</v>
      </c>
      <c r="C250" s="18" t="str">
        <v>m/s</v>
      </c>
    </row>
    <row r="251" spans="1:3" x14ac:dyDescent="0.35">
      <c r="A251" s="16" t="str">
        <v>stage1.station.3.u</v>
      </c>
      <c r="B251" s="17">
        <v>139.15794248809712</v>
      </c>
      <c r="C251" s="18" t="str">
        <v>m/s</v>
      </c>
    </row>
    <row r="252" spans="1:3" x14ac:dyDescent="0.35">
      <c r="A252" s="16" t="str">
        <v>stage1.station.3.v_m</v>
      </c>
      <c r="B252" s="17">
        <v>68.613507800911236</v>
      </c>
      <c r="C252" s="18" t="str">
        <v>m/s</v>
      </c>
    </row>
    <row r="253" spans="1:3" x14ac:dyDescent="0.35">
      <c r="A253" s="16" t="str">
        <v>stage1.station.3.v_t</v>
      </c>
      <c r="B253" s="17">
        <v>-69.733670798931229</v>
      </c>
      <c r="C253" s="18" t="str">
        <v>m/s</v>
      </c>
    </row>
    <row r="254" spans="1:3" x14ac:dyDescent="0.35">
      <c r="A254" s="16" t="str">
        <v>stage1.station.3.w_m</v>
      </c>
      <c r="B254" s="17">
        <v>68.613507800911236</v>
      </c>
      <c r="C254" s="18" t="str">
        <v>m/s</v>
      </c>
    </row>
    <row r="255" spans="1:3" x14ac:dyDescent="0.35">
      <c r="A255" s="16" t="str">
        <v>stage1.station.3.w_t</v>
      </c>
      <c r="B255" s="17">
        <v>-208.89161328702841</v>
      </c>
      <c r="C255" s="18" t="str">
        <v>m/s</v>
      </c>
    </row>
    <row r="256" spans="1:3" x14ac:dyDescent="0.35">
      <c r="A256" s="16" t="str">
        <v>stage1.station.3.alpha</v>
      </c>
      <c r="B256" s="17">
        <v>-45.463899664257113</v>
      </c>
      <c r="C256" s="18" t="str">
        <v>deg</v>
      </c>
    </row>
    <row r="257" spans="1:3" x14ac:dyDescent="0.35">
      <c r="A257" s="16" t="str">
        <v>stage1.station.3.beta</v>
      </c>
      <c r="B257" s="17">
        <v>-71.81647700892637</v>
      </c>
      <c r="C257" s="18" t="str">
        <v>deg</v>
      </c>
    </row>
    <row r="258" spans="1:3" x14ac:dyDescent="0.35">
      <c r="A258" s="16" t="str">
        <v>stage1.station.3.Ma_abs</v>
      </c>
      <c r="B258" s="17">
        <v>0.62787281771147463</v>
      </c>
      <c r="C258" s="18" t="str">
        <v>-</v>
      </c>
    </row>
    <row r="259" spans="1:3" x14ac:dyDescent="0.35">
      <c r="A259" s="16" t="str">
        <v>stage1.station.3.Ma_rel</v>
      </c>
      <c r="B259" s="17">
        <v>1.4111437943380682</v>
      </c>
      <c r="C259" s="18" t="str">
        <v>-</v>
      </c>
    </row>
    <row r="260" spans="1:3" x14ac:dyDescent="0.35">
      <c r="A260" s="16" t="str">
        <v>stage1.station.3.Re</v>
      </c>
      <c r="B260" s="17">
        <v>8822923.2346046939</v>
      </c>
      <c r="C260" s="18" t="str">
        <v>-</v>
      </c>
    </row>
    <row r="261" spans="1:3" x14ac:dyDescent="0.35">
      <c r="A261" s="16" t="str">
        <v>stage1.station.3.p0_rel</v>
      </c>
      <c r="B261" s="17">
        <v>8.7391781871274858</v>
      </c>
      <c r="C261" s="18" t="str">
        <v>bar</v>
      </c>
    </row>
    <row r="262" spans="1:3" x14ac:dyDescent="0.35">
      <c r="A262" s="16" t="str">
        <v>stage1.station.3.r</v>
      </c>
      <c r="B262" s="17">
        <v>132.34007568201321</v>
      </c>
      <c r="C262" s="18" t="str">
        <v>mm</v>
      </c>
    </row>
    <row r="263" spans="1:3" x14ac:dyDescent="0.35">
      <c r="A263" s="16" t="str">
        <v>stage1.station.3.H</v>
      </c>
      <c r="B263" s="17">
        <v>7.3196117161614058</v>
      </c>
      <c r="C263" s="18" t="str">
        <v>mm</v>
      </c>
    </row>
    <row r="264" spans="1:3" x14ac:dyDescent="0.35">
      <c r="A264" s="16" t="str">
        <v>stage1.station.3.I</v>
      </c>
      <c r="B264" s="17">
        <v>357138.7242316709</v>
      </c>
      <c r="C264" s="18" t="str">
        <v>J/kg</v>
      </c>
    </row>
    <row r="265" spans="1:3" x14ac:dyDescent="0.35">
      <c r="A265" s="16" t="str">
        <v>stage1.station.3.h0</v>
      </c>
      <c r="B265" s="17">
        <v>347434.73008114932</v>
      </c>
      <c r="C265" s="18" t="str">
        <v>J/kg</v>
      </c>
    </row>
    <row r="266" spans="1:3" x14ac:dyDescent="0.35">
      <c r="A266" s="16" t="str">
        <v>Stage 2 performance</v>
      </c>
      <c r="B266" s="17" t="str">
        <v/>
      </c>
      <c r="C266" s="18" t="str">
        <v/>
      </c>
    </row>
    <row r="267" spans="1:3" x14ac:dyDescent="0.35">
      <c r="A267" s="16" t="str">
        <v>stage2.performance.efficiency_ts</v>
      </c>
      <c r="B267" s="17">
        <v>74.800082463143141</v>
      </c>
      <c r="C267" s="18" t="str">
        <v>%</v>
      </c>
    </row>
    <row r="268" spans="1:3" x14ac:dyDescent="0.35">
      <c r="A268" s="16" t="str">
        <v>stage2.performance.efficiency_tt</v>
      </c>
      <c r="B268" s="17">
        <v>79.618377329448549</v>
      </c>
      <c r="C268" s="18" t="str">
        <v>%</v>
      </c>
    </row>
    <row r="269" spans="1:3" x14ac:dyDescent="0.35">
      <c r="A269" s="16" t="str">
        <v>stage2.performance.loss_coefficient_stator</v>
      </c>
      <c r="B269" s="17">
        <v>0.12149422536176599</v>
      </c>
      <c r="C269" s="18" t="str">
        <v>-</v>
      </c>
    </row>
    <row r="270" spans="1:3" x14ac:dyDescent="0.35">
      <c r="A270" s="16" t="str">
        <v>stage2.performance.loss_coefficient_rotor</v>
      </c>
      <c r="B270" s="17">
        <v>0.2076615836072149</v>
      </c>
      <c r="C270" s="18" t="str">
        <v>-</v>
      </c>
    </row>
    <row r="271" spans="1:3" x14ac:dyDescent="0.35">
      <c r="A271" s="16" t="str">
        <v>stage2.performance.mass_flow_rate</v>
      </c>
      <c r="B271" s="17">
        <v>5</v>
      </c>
      <c r="C271" s="18" t="str">
        <v>kg/s</v>
      </c>
    </row>
    <row r="272" spans="1:3" x14ac:dyDescent="0.35">
      <c r="A272" s="16" t="str">
        <v>stage2.performance.power_isentropic</v>
      </c>
      <c r="B272" s="17">
        <v>196.05923314002519</v>
      </c>
      <c r="C272" s="18" t="str">
        <v>kW</v>
      </c>
    </row>
    <row r="273" spans="1:3" x14ac:dyDescent="0.35">
      <c r="A273" s="16" t="str">
        <v>stage2.performance.power_actual</v>
      </c>
      <c r="B273" s="17">
        <v>144.41519812616252</v>
      </c>
      <c r="C273" s="18" t="str">
        <v>kW</v>
      </c>
    </row>
    <row r="274" spans="1:3" x14ac:dyDescent="0.35">
      <c r="A274" s="16" t="str">
        <v>stage2.performance.shaft_torque</v>
      </c>
      <c r="B274" s="17">
        <v>137.33975875134843</v>
      </c>
      <c r="C274" s="18" t="str">
        <v>N.m</v>
      </c>
    </row>
    <row r="275" spans="1:3" x14ac:dyDescent="0.35">
      <c r="A275" s="16" t="str">
        <v>stage2.performance.rotational_speed</v>
      </c>
      <c r="B275" s="17">
        <v>10041.255139083396</v>
      </c>
      <c r="C275" s="18" t="str">
        <v>rpm</v>
      </c>
    </row>
    <row r="276" spans="1:3" x14ac:dyDescent="0.35">
      <c r="A276" s="16" t="str">
        <v>stage2.performance.isentropic_enthalpy_drop</v>
      </c>
      <c r="B276" s="17">
        <v>39.211846628005034</v>
      </c>
      <c r="C276" s="18" t="str">
        <v>kJ/kg</v>
      </c>
    </row>
    <row r="277" spans="1:3" x14ac:dyDescent="0.35">
      <c r="A277" s="16" t="str">
        <v>stage2.performance.spouting_velocity</v>
      </c>
      <c r="B277" s="17">
        <v>280.04230618963641</v>
      </c>
      <c r="C277" s="18" t="str">
        <v>m/s</v>
      </c>
    </row>
    <row r="278" spans="1:3" x14ac:dyDescent="0.35">
      <c r="A278" s="16" t="str">
        <v>stage2.performance.pressure_ratio_ts</v>
      </c>
      <c r="B278" s="17">
        <v>3.9331119454099865</v>
      </c>
      <c r="C278" s="18" t="str">
        <v>-</v>
      </c>
    </row>
    <row r="279" spans="1:3" x14ac:dyDescent="0.35">
      <c r="A279" s="16" t="str">
        <v>stage2.performance.volume_ratio_ts</v>
      </c>
      <c r="B279" s="17">
        <v>4.3135275230332848</v>
      </c>
      <c r="C279" s="18" t="str">
        <v>-</v>
      </c>
    </row>
    <row r="280" spans="1:3" x14ac:dyDescent="0.35">
      <c r="A280" s="16" t="str">
        <v>stage2.performance.exit_blade_speed</v>
      </c>
      <c r="B280" s="17">
        <v>244.1367412071879</v>
      </c>
      <c r="C280" s="18" t="str">
        <v>m/s</v>
      </c>
    </row>
    <row r="281" spans="1:3" x14ac:dyDescent="0.35">
      <c r="A281" s="16" t="str">
        <v>stage2.performance.exit_rotor_diameter</v>
      </c>
      <c r="B281" s="17">
        <v>464.35114274390594</v>
      </c>
      <c r="C281" s="18" t="str">
        <v>mm</v>
      </c>
    </row>
    <row r="282" spans="1:3" x14ac:dyDescent="0.35">
      <c r="A282" s="16" t="str">
        <v>stage2.performance.specific_speed</v>
      </c>
      <c r="B282" s="17">
        <v>0.45761566556151773</v>
      </c>
      <c r="C282" s="18" t="str">
        <v>-</v>
      </c>
    </row>
    <row r="283" spans="1:3" x14ac:dyDescent="0.35">
      <c r="A283" s="16" t="str">
        <v>stage2.performance.blade_velocity_ratio</v>
      </c>
      <c r="B283" s="17">
        <v>0.87178521177391566</v>
      </c>
      <c r="C283" s="18" t="str">
        <v>-</v>
      </c>
    </row>
    <row r="284" spans="1:3" x14ac:dyDescent="0.35">
      <c r="A284" s="16" t="str">
        <v>stage2.performance.flow_coefficient</v>
      </c>
      <c r="B284" s="17">
        <v>0.31113080854773595</v>
      </c>
      <c r="C284" s="18" t="str">
        <v>-</v>
      </c>
    </row>
    <row r="285" spans="1:3" x14ac:dyDescent="0.35">
      <c r="A285" s="16" t="str">
        <v>stage2.performance.work_coefficient</v>
      </c>
      <c r="B285" s="17">
        <v>0.60864391924134686</v>
      </c>
      <c r="C285" s="18" t="str">
        <v>-</v>
      </c>
    </row>
    <row r="286" spans="1:3" x14ac:dyDescent="0.35">
      <c r="A286" s="16" t="str">
        <v>stage2.performance.degree_reaction</v>
      </c>
      <c r="B286" s="17">
        <v>0.5</v>
      </c>
      <c r="C286" s="18" t="str">
        <v>-</v>
      </c>
    </row>
    <row r="287" spans="1:3" x14ac:dyDescent="0.35">
      <c r="A287" s="16" t="str">
        <v>stage2.performance.stator_loss_coefficient</v>
      </c>
      <c r="B287" s="17">
        <v>0.12149422536176599</v>
      </c>
      <c r="C287" s="18" t="str">
        <v>-</v>
      </c>
    </row>
    <row r="288" spans="1:3" x14ac:dyDescent="0.35">
      <c r="A288" s="16" t="str">
        <v>stage2.performance.rotor_loss_coefficient</v>
      </c>
      <c r="B288" s="17">
        <v>0.2076615836072149</v>
      </c>
      <c r="C288" s="18" t="str">
        <v>-</v>
      </c>
    </row>
    <row r="289" spans="1:3" x14ac:dyDescent="0.35">
      <c r="A289" s="16" t="str">
        <v>Stage 2 geometry (stator)</v>
      </c>
      <c r="B289" s="17" t="str">
        <v/>
      </c>
      <c r="C289" s="18" t="str">
        <v/>
      </c>
    </row>
    <row r="290" spans="1:3" x14ac:dyDescent="0.35">
      <c r="A290" s="16" t="str">
        <v>stage2.stator.blade_count</v>
      </c>
      <c r="B290" s="17">
        <v>28</v>
      </c>
      <c r="C290" s="18" t="str">
        <v>-</v>
      </c>
    </row>
    <row r="291" spans="1:3" x14ac:dyDescent="0.35">
      <c r="A291" s="16" t="str">
        <v>stage2.stator.radius_in</v>
      </c>
      <c r="B291" s="17">
        <v>132.34007568201321</v>
      </c>
      <c r="C291" s="18" t="str">
        <v>mm</v>
      </c>
    </row>
    <row r="292" spans="1:3" x14ac:dyDescent="0.35">
      <c r="A292" s="16" t="str">
        <v>stage2.stator.radius_out</v>
      </c>
      <c r="B292" s="17">
        <v>176.45343424268427</v>
      </c>
      <c r="C292" s="18" t="str">
        <v>mm</v>
      </c>
    </row>
    <row r="293" spans="1:3" x14ac:dyDescent="0.35">
      <c r="A293" s="16" t="str">
        <v>stage2.stator.height</v>
      </c>
      <c r="B293" s="17">
        <v>8.7249396933023267</v>
      </c>
      <c r="C293" s="18" t="str">
        <v>mm</v>
      </c>
    </row>
    <row r="294" spans="1:3" x14ac:dyDescent="0.35">
      <c r="A294" s="16" t="str">
        <v>stage2.stator.chord</v>
      </c>
      <c r="B294" s="17">
        <v>45.144263268395271</v>
      </c>
      <c r="C294" s="18" t="str">
        <v>mm</v>
      </c>
    </row>
    <row r="295" spans="1:3" x14ac:dyDescent="0.35">
      <c r="A295" s="16" t="str">
        <v>stage2.stator.chord_meridional</v>
      </c>
      <c r="B295" s="17">
        <v>44.11335856067106</v>
      </c>
      <c r="C295" s="18" t="str">
        <v>mm</v>
      </c>
    </row>
    <row r="296" spans="1:3" x14ac:dyDescent="0.35">
      <c r="A296" s="16" t="str">
        <v>stage2.stator.meridional_chord</v>
      </c>
      <c r="B296" s="17">
        <v>44.11335856067106</v>
      </c>
      <c r="C296" s="18" t="str">
        <v>mm</v>
      </c>
    </row>
    <row r="297" spans="1:3" x14ac:dyDescent="0.35">
      <c r="A297" s="16" t="str">
        <v>stage2.stator.spacing</v>
      </c>
      <c r="B297" s="17">
        <v>34.646550794844153</v>
      </c>
      <c r="C297" s="18" t="str">
        <v>mm</v>
      </c>
    </row>
    <row r="298" spans="1:3" x14ac:dyDescent="0.35">
      <c r="A298" s="16" t="str">
        <v>stage2.stator.pitch</v>
      </c>
      <c r="B298" s="17">
        <v>34.646550794844153</v>
      </c>
      <c r="C298" s="18" t="str">
        <v>mm</v>
      </c>
    </row>
    <row r="299" spans="1:3" x14ac:dyDescent="0.35">
      <c r="A299" s="16" t="str">
        <v>stage2.stator.opening</v>
      </c>
      <c r="B299" s="17">
        <v>17.62348417410546</v>
      </c>
      <c r="C299" s="18" t="str">
        <v>mm</v>
      </c>
    </row>
    <row r="300" spans="1:3" x14ac:dyDescent="0.35">
      <c r="A300" s="16" t="str">
        <v>stage2.stator.solidity</v>
      </c>
      <c r="B300" s="17">
        <v>1.2732395447351625</v>
      </c>
      <c r="C300" s="18" t="str">
        <v>-</v>
      </c>
    </row>
    <row r="301" spans="1:3" x14ac:dyDescent="0.35">
      <c r="A301" s="16" t="str">
        <v>stage2.stator.aspect_ratio</v>
      </c>
      <c r="B301" s="17">
        <v>0.19778452554916059</v>
      </c>
      <c r="C301" s="18" t="str">
        <v>-</v>
      </c>
    </row>
    <row r="302" spans="1:3" x14ac:dyDescent="0.35">
      <c r="A302" s="16" t="str">
        <v>stage2.stator.flaring_angle</v>
      </c>
      <c r="B302" s="17">
        <v>2.3551687485518746</v>
      </c>
      <c r="C302" s="18" t="str">
        <v>deg</v>
      </c>
    </row>
    <row r="303" spans="1:3" x14ac:dyDescent="0.35">
      <c r="A303" s="16" t="str">
        <v>stage2.stator.maximum_thickness</v>
      </c>
      <c r="B303" s="17">
        <v>13.234007568201317</v>
      </c>
      <c r="C303" s="18" t="str">
        <v>mm</v>
      </c>
    </row>
    <row r="304" spans="1:3" x14ac:dyDescent="0.35">
      <c r="A304" s="16" t="str">
        <v>stage2.stator.maximum_thickness_location</v>
      </c>
      <c r="B304" s="17">
        <v>0.25</v>
      </c>
      <c r="C304" s="18" t="str">
        <v>-</v>
      </c>
    </row>
    <row r="305" spans="1:3" x14ac:dyDescent="0.35">
      <c r="A305" s="16" t="str">
        <v>stage2.stator.leading_edge_radius</v>
      </c>
      <c r="B305" s="17">
        <v>6.6170037841006586</v>
      </c>
      <c r="C305" s="18" t="str">
        <v>mm</v>
      </c>
    </row>
    <row r="306" spans="1:3" x14ac:dyDescent="0.35">
      <c r="A306" s="16" t="str">
        <v>stage2.stator.leading_edge_diameter</v>
      </c>
      <c r="B306" s="17">
        <v>13.234007568201317</v>
      </c>
      <c r="C306" s="18" t="str">
        <v>mm</v>
      </c>
    </row>
    <row r="307" spans="1:3" x14ac:dyDescent="0.35">
      <c r="A307" s="16" t="str">
        <v>stage2.stator.leading_edge_angle</v>
      </c>
      <c r="B307" s="17">
        <v>-45.463899664257113</v>
      </c>
      <c r="C307" s="18" t="str">
        <v>deg</v>
      </c>
    </row>
    <row r="308" spans="1:3" x14ac:dyDescent="0.35">
      <c r="A308" s="16" t="str">
        <v>stage2.stator.leading_edge_wedge_angle</v>
      </c>
      <c r="B308" s="17">
        <v>30</v>
      </c>
      <c r="C308" s="18" t="str">
        <v>deg</v>
      </c>
    </row>
    <row r="309" spans="1:3" x14ac:dyDescent="0.35">
      <c r="A309" s="16" t="str">
        <v>stage2.stator.trailing_edge_thickness</v>
      </c>
      <c r="B309" s="17">
        <v>0.88117420870527308</v>
      </c>
      <c r="C309" s="18" t="str">
        <v>mm</v>
      </c>
    </row>
    <row r="310" spans="1:3" x14ac:dyDescent="0.35">
      <c r="A310" s="16" t="str">
        <v>stage2.stator.trailing_edge_wedge_angle</v>
      </c>
      <c r="B310" s="17">
        <v>10</v>
      </c>
      <c r="C310" s="18" t="str">
        <v>deg</v>
      </c>
    </row>
    <row r="311" spans="1:3" x14ac:dyDescent="0.35">
      <c r="A311" s="16" t="str">
        <v>stage2.stator.stagger_angle</v>
      </c>
      <c r="B311" s="17">
        <v>12.26805016787144</v>
      </c>
      <c r="C311" s="18" t="str">
        <v>deg</v>
      </c>
    </row>
    <row r="312" spans="1:3" x14ac:dyDescent="0.35">
      <c r="A312" s="16" t="str">
        <v>stage2.stator.hub_tip_ratio_in</v>
      </c>
      <c r="B312" s="17">
        <v>0.94911006503815043</v>
      </c>
      <c r="C312" s="18" t="str">
        <v>-</v>
      </c>
    </row>
    <row r="313" spans="1:3" x14ac:dyDescent="0.35">
      <c r="A313" s="16" t="str">
        <v>stage2.stator.tip_clearance</v>
      </c>
      <c r="B313" s="17">
        <v>0</v>
      </c>
      <c r="C313" s="18" t="str">
        <v>mm</v>
      </c>
    </row>
    <row r="314" spans="1:3" x14ac:dyDescent="0.35">
      <c r="A314" s="16" t="str">
        <v>stage2.stator.A_out</v>
      </c>
      <c r="B314" s="17">
        <v>11684.769423943391</v>
      </c>
      <c r="C314" s="18" t="str">
        <v>mm2</v>
      </c>
    </row>
    <row r="315" spans="1:3" x14ac:dyDescent="0.35">
      <c r="A315" s="16" t="str">
        <v>stage2.stator.A_throat</v>
      </c>
      <c r="B315" s="17">
        <v>5200.6780259388597</v>
      </c>
      <c r="C315" s="18" t="str">
        <v>mm2</v>
      </c>
    </row>
    <row r="316" spans="1:3" x14ac:dyDescent="0.35">
      <c r="A316" s="16" t="str">
        <v>stage2.stator.metal_angle_in</v>
      </c>
      <c r="B316" s="17">
        <v>-45.463899664257113</v>
      </c>
      <c r="C316" s="18" t="str">
        <v>deg</v>
      </c>
    </row>
    <row r="317" spans="1:3" x14ac:dyDescent="0.35">
      <c r="A317" s="16" t="str">
        <v>stage2.stator.metal_angle_out</v>
      </c>
      <c r="B317" s="17">
        <v>70</v>
      </c>
      <c r="C317" s="18" t="str">
        <v>deg</v>
      </c>
    </row>
    <row r="318" spans="1:3" x14ac:dyDescent="0.35">
      <c r="A318" s="16" t="str">
        <v>Stage 2 geometry (rotor)</v>
      </c>
      <c r="B318" s="17" t="str">
        <v/>
      </c>
      <c r="C318" s="18" t="str">
        <v/>
      </c>
    </row>
    <row r="319" spans="1:3" x14ac:dyDescent="0.35">
      <c r="A319" s="16" t="str">
        <v>stage2.rotor.blade_count</v>
      </c>
      <c r="B319" s="17">
        <v>25</v>
      </c>
      <c r="C319" s="18" t="str">
        <v>-</v>
      </c>
    </row>
    <row r="320" spans="1:3" x14ac:dyDescent="0.35">
      <c r="A320" s="16" t="str">
        <v>stage2.rotor.radius_in</v>
      </c>
      <c r="B320" s="17">
        <v>185.74045709756237</v>
      </c>
      <c r="C320" s="18" t="str">
        <v>mm</v>
      </c>
    </row>
    <row r="321" spans="1:3" x14ac:dyDescent="0.35">
      <c r="A321" s="16" t="str">
        <v>stage2.rotor.radius_out</v>
      </c>
      <c r="B321" s="17">
        <v>232.17557137195297</v>
      </c>
      <c r="C321" s="18" t="str">
        <v>mm</v>
      </c>
    </row>
    <row r="322" spans="1:3" x14ac:dyDescent="0.35">
      <c r="A322" s="16" t="str">
        <v>stage2.rotor.height</v>
      </c>
      <c r="B322" s="17">
        <v>11.275510035836351</v>
      </c>
      <c r="C322" s="18" t="str">
        <v>mm</v>
      </c>
    </row>
    <row r="323" spans="1:3" x14ac:dyDescent="0.35">
      <c r="A323" s="16" t="str">
        <v>stage2.rotor.chord</v>
      </c>
      <c r="B323" s="17">
        <v>56.617951418696542</v>
      </c>
      <c r="C323" s="18" t="str">
        <v>mm</v>
      </c>
    </row>
    <row r="324" spans="1:3" x14ac:dyDescent="0.35">
      <c r="A324" s="16" t="str">
        <v>stage2.rotor.chord_meridional</v>
      </c>
      <c r="B324" s="17">
        <v>46.435114274390592</v>
      </c>
      <c r="C324" s="18" t="str">
        <v>mm</v>
      </c>
    </row>
    <row r="325" spans="1:3" x14ac:dyDescent="0.35">
      <c r="A325" s="16" t="str">
        <v>stage2.rotor.meridional_chord</v>
      </c>
      <c r="B325" s="17">
        <v>46.435114274390592</v>
      </c>
      <c r="C325" s="18" t="str">
        <v>mm</v>
      </c>
    </row>
    <row r="326" spans="1:3" x14ac:dyDescent="0.35">
      <c r="A326" s="16" t="str">
        <v>stage2.rotor.spacing</v>
      </c>
      <c r="B326" s="17">
        <v>52.516876994290094</v>
      </c>
      <c r="C326" s="18" t="str">
        <v>mm</v>
      </c>
    </row>
    <row r="327" spans="1:3" x14ac:dyDescent="0.35">
      <c r="A327" s="16" t="str">
        <v>stage2.rotor.pitch</v>
      </c>
      <c r="B327" s="17">
        <v>52.516876994290094</v>
      </c>
      <c r="C327" s="18" t="str">
        <v>mm</v>
      </c>
    </row>
    <row r="328" spans="1:3" x14ac:dyDescent="0.35">
      <c r="A328" s="16" t="str">
        <v>stage2.rotor.opening</v>
      </c>
      <c r="B328" s="17">
        <v>24.822210553343393</v>
      </c>
      <c r="C328" s="18" t="str">
        <v>mm</v>
      </c>
    </row>
    <row r="329" spans="1:3" x14ac:dyDescent="0.35">
      <c r="A329" s="16" t="str">
        <v>stage2.rotor.solidity</v>
      </c>
      <c r="B329" s="17">
        <v>0.88419412828830746</v>
      </c>
      <c r="C329" s="18" t="str">
        <v>-</v>
      </c>
    </row>
    <row r="330" spans="1:3" x14ac:dyDescent="0.35">
      <c r="A330" s="16" t="str">
        <v>stage2.rotor.aspect_ratio</v>
      </c>
      <c r="B330" s="17">
        <v>0.24282291993959629</v>
      </c>
      <c r="C330" s="18" t="str">
        <v>-</v>
      </c>
    </row>
    <row r="331" spans="1:3" x14ac:dyDescent="0.35">
      <c r="A331" s="16" t="str">
        <v>stage2.rotor.flaring_angle</v>
      </c>
      <c r="B331" s="17">
        <v>2.4613867437937884</v>
      </c>
      <c r="C331" s="18" t="str">
        <v>deg</v>
      </c>
    </row>
    <row r="332" spans="1:3" x14ac:dyDescent="0.35">
      <c r="A332" s="16" t="str">
        <v>stage2.rotor.maximum_thickness</v>
      </c>
      <c r="B332" s="17">
        <v>13.930534282317177</v>
      </c>
      <c r="C332" s="18" t="str">
        <v>mm</v>
      </c>
    </row>
    <row r="333" spans="1:3" x14ac:dyDescent="0.35">
      <c r="A333" s="16" t="str">
        <v>stage2.rotor.maximum_thickness_location</v>
      </c>
      <c r="B333" s="17">
        <v>0.25</v>
      </c>
      <c r="C333" s="18" t="str">
        <v>-</v>
      </c>
    </row>
    <row r="334" spans="1:3" x14ac:dyDescent="0.35">
      <c r="A334" s="16" t="str">
        <v>stage2.rotor.leading_edge_radius</v>
      </c>
      <c r="B334" s="17">
        <v>6.9652671411585887</v>
      </c>
      <c r="C334" s="18" t="str">
        <v>mm</v>
      </c>
    </row>
    <row r="335" spans="1:3" x14ac:dyDescent="0.35">
      <c r="A335" s="16" t="str">
        <v>stage2.rotor.leading_edge_diameter</v>
      </c>
      <c r="B335" s="17">
        <v>13.930534282317177</v>
      </c>
      <c r="C335" s="18" t="str">
        <v>mm</v>
      </c>
    </row>
    <row r="336" spans="1:3" x14ac:dyDescent="0.35">
      <c r="A336" s="16" t="str">
        <v>stage2.rotor.leading_edge_angle</v>
      </c>
      <c r="B336" s="17">
        <v>2.2241226073948148</v>
      </c>
      <c r="C336" s="18" t="str">
        <v>deg</v>
      </c>
    </row>
    <row r="337" spans="1:3" x14ac:dyDescent="0.35">
      <c r="A337" s="16" t="str">
        <v>stage2.rotor.leading_edge_wedge_angle</v>
      </c>
      <c r="B337" s="17">
        <v>30</v>
      </c>
      <c r="C337" s="18" t="str">
        <v>deg</v>
      </c>
    </row>
    <row r="338" spans="1:3" x14ac:dyDescent="0.35">
      <c r="A338" s="16" t="str">
        <v>stage2.rotor.trailing_edge_thickness</v>
      </c>
      <c r="B338" s="17">
        <v>1.2411105276671697</v>
      </c>
      <c r="C338" s="18" t="str">
        <v>mm</v>
      </c>
    </row>
    <row r="339" spans="1:3" x14ac:dyDescent="0.35">
      <c r="A339" s="16" t="str">
        <v>stage2.rotor.trailing_edge_wedge_angle</v>
      </c>
      <c r="B339" s="17">
        <v>10</v>
      </c>
      <c r="C339" s="18" t="str">
        <v>deg</v>
      </c>
    </row>
    <row r="340" spans="1:3" x14ac:dyDescent="0.35">
      <c r="A340" s="16" t="str">
        <v>stage2.rotor.stagger_angle</v>
      </c>
      <c r="B340" s="17">
        <v>-34.900362216333363</v>
      </c>
      <c r="C340" s="18" t="str">
        <v>deg</v>
      </c>
    </row>
    <row r="341" spans="1:3" x14ac:dyDescent="0.35">
      <c r="A341" s="16" t="str">
        <v>stage2.rotor.hub_tip_ratio_in</v>
      </c>
      <c r="B341" s="17">
        <v>0.95125825884986981</v>
      </c>
      <c r="C341" s="18" t="str">
        <v>-</v>
      </c>
    </row>
    <row r="342" spans="1:3" x14ac:dyDescent="0.35">
      <c r="A342" s="16" t="str">
        <v>stage2.rotor.tip_clearance</v>
      </c>
      <c r="B342" s="17">
        <v>0.11275510035836352</v>
      </c>
      <c r="C342" s="18" t="str">
        <v>mm</v>
      </c>
    </row>
    <row r="343" spans="1:3" x14ac:dyDescent="0.35">
      <c r="A343" s="16" t="str">
        <v>stage2.rotor.A_out</v>
      </c>
      <c r="B343" s="17">
        <v>19360.577525971174</v>
      </c>
      <c r="C343" s="18" t="str">
        <v>mm2</v>
      </c>
    </row>
    <row r="344" spans="1:3" x14ac:dyDescent="0.35">
      <c r="A344" s="16" t="str">
        <v>stage2.rotor.A_throat</v>
      </c>
      <c r="B344" s="17">
        <v>8235.735317098377</v>
      </c>
      <c r="C344" s="18" t="str">
        <v>mm2</v>
      </c>
    </row>
    <row r="345" spans="1:3" x14ac:dyDescent="0.35">
      <c r="A345" s="16" t="str">
        <v>stage2.rotor.metal_angle_in</v>
      </c>
      <c r="B345" s="17">
        <v>2.2241226073948148</v>
      </c>
      <c r="C345" s="18" t="str">
        <v>deg</v>
      </c>
    </row>
    <row r="346" spans="1:3" x14ac:dyDescent="0.35">
      <c r="A346" s="16" t="str">
        <v>stage2.rotor.metal_angle_out</v>
      </c>
      <c r="B346" s="17">
        <v>-72.024847040061545</v>
      </c>
      <c r="C346" s="18" t="str">
        <v>deg</v>
      </c>
    </row>
    <row r="347" spans="1:3" x14ac:dyDescent="0.35">
      <c r="A347" s="16" t="str">
        <v>Stage 2 losses (stator)</v>
      </c>
      <c r="B347" s="17" t="str">
        <v/>
      </c>
      <c r="C347" s="18" t="str">
        <v/>
      </c>
    </row>
    <row r="348" spans="1:3" x14ac:dyDescent="0.35">
      <c r="A348" s="16" t="str">
        <v>stage2.loss.stator.loss_profile</v>
      </c>
      <c r="B348" s="17">
        <v>2.7382823319670561E-2</v>
      </c>
      <c r="C348" s="18" t="str">
        <v>-</v>
      </c>
    </row>
    <row r="349" spans="1:3" x14ac:dyDescent="0.35">
      <c r="A349" s="16" t="str">
        <v>stage2.loss.stator.loss_incidence</v>
      </c>
      <c r="B349" s="17">
        <v>-1.3335232156247711E-7</v>
      </c>
      <c r="C349" s="18" t="str">
        <v>-</v>
      </c>
    </row>
    <row r="350" spans="1:3" x14ac:dyDescent="0.35">
      <c r="A350" s="16" t="str">
        <v>stage2.loss.stator.loss_trailing</v>
      </c>
      <c r="B350" s="17">
        <v>4.1464738574460936E-3</v>
      </c>
      <c r="C350" s="18" t="str">
        <v>-</v>
      </c>
    </row>
    <row r="351" spans="1:3" x14ac:dyDescent="0.35">
      <c r="A351" s="16" t="str">
        <v>stage2.loss.stator.loss_secondary</v>
      </c>
      <c r="B351" s="17">
        <v>8.9965061536970897E-2</v>
      </c>
      <c r="C351" s="18" t="str">
        <v>-</v>
      </c>
    </row>
    <row r="352" spans="1:3" x14ac:dyDescent="0.35">
      <c r="A352" s="16" t="str">
        <v>stage2.loss.stator.loss_clearance</v>
      </c>
      <c r="B352" s="17">
        <v>0</v>
      </c>
      <c r="C352" s="18" t="str">
        <v>-</v>
      </c>
    </row>
    <row r="353" spans="1:3" x14ac:dyDescent="0.35">
      <c r="A353" s="16" t="str">
        <v>stage2.loss.stator.loss_total</v>
      </c>
      <c r="B353" s="17">
        <v>0.12149422536176599</v>
      </c>
      <c r="C353" s="18" t="str">
        <v>-</v>
      </c>
    </row>
    <row r="354" spans="1:3" x14ac:dyDescent="0.35">
      <c r="A354" s="16" t="str">
        <v>stage2.loss.stator.loss_definition</v>
      </c>
      <c r="B354" s="17">
        <v>0</v>
      </c>
      <c r="C354" s="18" t="str">
        <v>-</v>
      </c>
    </row>
    <row r="355" spans="1:3" x14ac:dyDescent="0.35">
      <c r="A355" s="16" t="str">
        <v>stage2.loss.stator.loss_error</v>
      </c>
      <c r="B355" s="17">
        <v>-0.12149422536176599</v>
      </c>
      <c r="C355" s="18" t="str">
        <v>-</v>
      </c>
    </row>
    <row r="356" spans="1:3" x14ac:dyDescent="0.35">
      <c r="A356" s="16" t="str">
        <v>Stage 2 losses (rotor)</v>
      </c>
      <c r="B356" s="17" t="str">
        <v/>
      </c>
      <c r="C356" s="18" t="str">
        <v/>
      </c>
    </row>
    <row r="357" spans="1:3" x14ac:dyDescent="0.35">
      <c r="A357" s="16" t="str">
        <v>stage2.loss.rotor.loss_profile</v>
      </c>
      <c r="B357" s="17">
        <v>1.5303118981724468E-2</v>
      </c>
      <c r="C357" s="18" t="str">
        <v>-</v>
      </c>
    </row>
    <row r="358" spans="1:3" x14ac:dyDescent="0.35">
      <c r="A358" s="16" t="str">
        <v>stage2.loss.rotor.loss_incidence</v>
      </c>
      <c r="B358" s="17">
        <v>-1.9587649723298375E-7</v>
      </c>
      <c r="C358" s="18" t="str">
        <v>-</v>
      </c>
    </row>
    <row r="359" spans="1:3" x14ac:dyDescent="0.35">
      <c r="A359" s="16" t="str">
        <v>stage2.loss.rotor.loss_trailing</v>
      </c>
      <c r="B359" s="17">
        <v>6.7589210662363777E-3</v>
      </c>
      <c r="C359" s="18" t="str">
        <v>-</v>
      </c>
    </row>
    <row r="360" spans="1:3" x14ac:dyDescent="0.35">
      <c r="A360" s="16" t="str">
        <v>stage2.loss.rotor.loss_secondary</v>
      </c>
      <c r="B360" s="17">
        <v>5.9288769497356564E-2</v>
      </c>
      <c r="C360" s="18" t="str">
        <v>-</v>
      </c>
    </row>
    <row r="361" spans="1:3" x14ac:dyDescent="0.35">
      <c r="A361" s="16" t="str">
        <v>stage2.loss.rotor.loss_clearance</v>
      </c>
      <c r="B361" s="17">
        <v>0.12631096993839472</v>
      </c>
      <c r="C361" s="18" t="str">
        <v>-</v>
      </c>
    </row>
    <row r="362" spans="1:3" x14ac:dyDescent="0.35">
      <c r="A362" s="16" t="str">
        <v>stage2.loss.rotor.loss_total</v>
      </c>
      <c r="B362" s="17">
        <v>0.2076615836072149</v>
      </c>
      <c r="C362" s="18" t="str">
        <v>-</v>
      </c>
    </row>
    <row r="363" spans="1:3" x14ac:dyDescent="0.35">
      <c r="A363" s="16" t="str">
        <v>stage2.loss.rotor.loss_definition</v>
      </c>
      <c r="B363" s="17">
        <v>0</v>
      </c>
      <c r="C363" s="18" t="str">
        <v>-</v>
      </c>
    </row>
    <row r="364" spans="1:3" x14ac:dyDescent="0.35">
      <c r="A364" s="16" t="str">
        <v>stage2.loss.rotor.loss_error</v>
      </c>
      <c r="B364" s="17">
        <v>-0.2076615836072149</v>
      </c>
      <c r="C364" s="18" t="str">
        <v>-</v>
      </c>
    </row>
    <row r="365" spans="1:3" x14ac:dyDescent="0.35">
      <c r="A365" s="16" t="str">
        <v>Stage 2 flow station 0</v>
      </c>
      <c r="B365" s="17" t="str">
        <v/>
      </c>
      <c r="C365" s="18" t="str">
        <v/>
      </c>
    </row>
    <row r="366" spans="1:3" x14ac:dyDescent="0.35">
      <c r="A366" s="16" t="str">
        <v>stage2.station.0.p</v>
      </c>
      <c r="B366" s="17">
        <v>3.1721442418556665</v>
      </c>
      <c r="C366" s="18" t="str">
        <v>bar</v>
      </c>
    </row>
    <row r="367" spans="1:3" x14ac:dyDescent="0.35">
      <c r="A367" s="16" t="str">
        <v>stage2.station.0.T</v>
      </c>
      <c r="B367" s="17">
        <v>347.36723931661083</v>
      </c>
      <c r="C367" s="18" t="str">
        <v>K</v>
      </c>
    </row>
    <row r="368" spans="1:3" x14ac:dyDescent="0.35">
      <c r="A368" s="16" t="str">
        <v>stage2.station.0.d</v>
      </c>
      <c r="B368" s="17">
        <v>11.455279509638318</v>
      </c>
      <c r="C368" s="18" t="str">
        <v>kg/m3</v>
      </c>
    </row>
    <row r="369" spans="1:3" x14ac:dyDescent="0.35">
      <c r="A369" s="16" t="str">
        <v>stage2.station.0.q</v>
      </c>
      <c r="B369" s="17">
        <v>0.76340006781441538</v>
      </c>
      <c r="C369" s="18" t="str">
        <v>-</v>
      </c>
    </row>
    <row r="370" spans="1:3" x14ac:dyDescent="0.35">
      <c r="A370" s="16" t="str">
        <v>stage2.station.0.Z</v>
      </c>
      <c r="B370" s="17">
        <v>0.6917566350335399</v>
      </c>
      <c r="C370" s="18" t="str">
        <v>-</v>
      </c>
    </row>
    <row r="371" spans="1:3" x14ac:dyDescent="0.35">
      <c r="A371" s="16" t="str">
        <v>stage2.station.0.a</v>
      </c>
      <c r="B371" s="17">
        <v>156.72328984687158</v>
      </c>
      <c r="C371" s="18" t="str">
        <v>m/s</v>
      </c>
    </row>
    <row r="372" spans="1:3" x14ac:dyDescent="0.35">
      <c r="A372" s="16" t="str">
        <v>stage2.station.0.h</v>
      </c>
      <c r="B372" s="17">
        <v>341570.07913896511</v>
      </c>
      <c r="C372" s="18" t="str">
        <v>J/kg</v>
      </c>
    </row>
    <row r="373" spans="1:3" x14ac:dyDescent="0.35">
      <c r="A373" s="16" t="str">
        <v>stage2.station.0.s</v>
      </c>
      <c r="B373" s="17">
        <v>998.06178797657708</v>
      </c>
      <c r="C373" s="18" t="str">
        <v>J/kg/K</v>
      </c>
    </row>
    <row r="374" spans="1:3" x14ac:dyDescent="0.35">
      <c r="A374" s="16" t="str">
        <v>stage2.station.0.v</v>
      </c>
      <c r="B374" s="17">
        <v>108.3019015731232</v>
      </c>
      <c r="C374" s="18" t="str">
        <v>m/s</v>
      </c>
    </row>
    <row r="375" spans="1:3" x14ac:dyDescent="0.35">
      <c r="A375" s="16" t="str">
        <v>stage2.station.0.w</v>
      </c>
      <c r="B375" s="17">
        <v>108.3019015731232</v>
      </c>
      <c r="C375" s="18" t="str">
        <v>m/s</v>
      </c>
    </row>
    <row r="376" spans="1:3" x14ac:dyDescent="0.35">
      <c r="A376" s="16" t="str">
        <v>stage2.station.0.u</v>
      </c>
      <c r="B376" s="17">
        <v>0</v>
      </c>
      <c r="C376" s="18" t="str">
        <v>m/s</v>
      </c>
    </row>
    <row r="377" spans="1:3" x14ac:dyDescent="0.35">
      <c r="A377" s="16" t="str">
        <v>stage2.station.0.v_m</v>
      </c>
      <c r="B377" s="17">
        <v>75.958461688001734</v>
      </c>
      <c r="C377" s="18" t="str">
        <v>m/s</v>
      </c>
    </row>
    <row r="378" spans="1:3" x14ac:dyDescent="0.35">
      <c r="A378" s="16" t="str">
        <v>stage2.station.0.v_t</v>
      </c>
      <c r="B378" s="17">
        <v>-77.198536141217332</v>
      </c>
      <c r="C378" s="18" t="str">
        <v>m/s</v>
      </c>
    </row>
    <row r="379" spans="1:3" x14ac:dyDescent="0.35">
      <c r="A379" s="16" t="str">
        <v>stage2.station.0.w_m</v>
      </c>
      <c r="B379" s="17">
        <v>75.958461688001734</v>
      </c>
      <c r="C379" s="18" t="str">
        <v>m/s</v>
      </c>
    </row>
    <row r="380" spans="1:3" x14ac:dyDescent="0.35">
      <c r="A380" s="16" t="str">
        <v>stage2.station.0.w_t</v>
      </c>
      <c r="B380" s="17">
        <v>-77.198536141217332</v>
      </c>
      <c r="C380" s="18" t="str">
        <v>m/s</v>
      </c>
    </row>
    <row r="381" spans="1:3" x14ac:dyDescent="0.35">
      <c r="A381" s="16" t="str">
        <v>stage2.station.0.alpha</v>
      </c>
      <c r="B381" s="17">
        <v>-45.463899664257113</v>
      </c>
      <c r="C381" s="18" t="str">
        <v>deg</v>
      </c>
    </row>
    <row r="382" spans="1:3" x14ac:dyDescent="0.35">
      <c r="A382" s="16" t="str">
        <v>stage2.station.0.beta</v>
      </c>
      <c r="B382" s="17">
        <v>-45.463899664257113</v>
      </c>
      <c r="C382" s="18" t="str">
        <v>deg</v>
      </c>
    </row>
    <row r="383" spans="1:3" x14ac:dyDescent="0.35">
      <c r="A383" s="16" t="str">
        <v>stage2.station.0.Ma_abs</v>
      </c>
      <c r="B383" s="17">
        <v>0.69103897499178912</v>
      </c>
      <c r="C383" s="18" t="str">
        <v>-</v>
      </c>
    </row>
    <row r="384" spans="1:3" x14ac:dyDescent="0.35">
      <c r="A384" s="16" t="str">
        <v>stage2.station.0.Ma_rel</v>
      </c>
      <c r="B384" s="17">
        <v>0.69103897499178912</v>
      </c>
      <c r="C384" s="18" t="str">
        <v>-</v>
      </c>
    </row>
    <row r="385" spans="1:3" x14ac:dyDescent="0.35">
      <c r="A385" s="16" t="str">
        <v>stage2.station.0.Re</v>
      </c>
      <c r="B385" s="17">
        <v>6936459.9025491048</v>
      </c>
      <c r="C385" s="18" t="str">
        <v>-</v>
      </c>
    </row>
    <row r="386" spans="1:3" x14ac:dyDescent="0.35">
      <c r="A386" s="16" t="str">
        <v>stage2.station.0.p0_rel</v>
      </c>
      <c r="B386" s="17">
        <v>3.9331119454208614</v>
      </c>
      <c r="C386" s="18" t="str">
        <v>bar</v>
      </c>
    </row>
    <row r="387" spans="1:3" x14ac:dyDescent="0.35">
      <c r="A387" s="16" t="str">
        <v>stage2.station.0.r</v>
      </c>
      <c r="B387" s="17">
        <v>132.34007568201321</v>
      </c>
      <c r="C387" s="18" t="str">
        <v>mm</v>
      </c>
    </row>
    <row r="388" spans="1:3" x14ac:dyDescent="0.35">
      <c r="A388" s="16" t="str">
        <v>stage2.station.0.H</v>
      </c>
      <c r="B388" s="17">
        <v>6.9106183022784782</v>
      </c>
      <c r="C388" s="18" t="str">
        <v>mm</v>
      </c>
    </row>
    <row r="389" spans="1:3" x14ac:dyDescent="0.35">
      <c r="A389" s="16" t="str">
        <v>stage2.station.0.I</v>
      </c>
      <c r="B389" s="17">
        <v>347434.73008121515</v>
      </c>
      <c r="C389" s="18" t="str">
        <v>J/kg</v>
      </c>
    </row>
    <row r="390" spans="1:3" x14ac:dyDescent="0.35">
      <c r="A390" s="16" t="str">
        <v>stage2.station.0.h0</v>
      </c>
      <c r="B390" s="17">
        <v>347434.73008114233</v>
      </c>
      <c r="C390" s="18" t="str">
        <v>J/kg</v>
      </c>
    </row>
    <row r="391" spans="1:3" x14ac:dyDescent="0.35">
      <c r="A391" s="16" t="str">
        <v>Stage 2 flow station 1</v>
      </c>
      <c r="B391" s="17" t="str">
        <v/>
      </c>
      <c r="C391" s="18" t="str">
        <v/>
      </c>
    </row>
    <row r="392" spans="1:3" x14ac:dyDescent="0.35">
      <c r="A392" s="16" t="str">
        <v>stage2.station.1.p</v>
      </c>
      <c r="B392" s="17">
        <v>1.6423212268095444</v>
      </c>
      <c r="C392" s="18" t="str">
        <v>bar</v>
      </c>
    </row>
    <row r="393" spans="1:3" x14ac:dyDescent="0.35">
      <c r="A393" s="16" t="str">
        <v>stage2.station.1.T</v>
      </c>
      <c r="B393" s="17">
        <v>324.14522181228699</v>
      </c>
      <c r="C393" s="18" t="str">
        <v>K</v>
      </c>
    </row>
    <row r="394" spans="1:3" x14ac:dyDescent="0.35">
      <c r="A394" s="16" t="str">
        <v>stage2.station.1.d</v>
      </c>
      <c r="B394" s="17">
        <v>5.6334403050384827</v>
      </c>
      <c r="C394" s="18" t="str">
        <v>kg/m3</v>
      </c>
    </row>
    <row r="395" spans="1:3" x14ac:dyDescent="0.35">
      <c r="A395" s="16" t="str">
        <v>stage2.station.1.q</v>
      </c>
      <c r="B395" s="17">
        <v>0.83064829492765446</v>
      </c>
      <c r="C395" s="18" t="str">
        <v>-</v>
      </c>
    </row>
    <row r="396" spans="1:3" x14ac:dyDescent="0.35">
      <c r="A396" s="16" t="str">
        <v>stage2.station.1.Z</v>
      </c>
      <c r="B396" s="17">
        <v>0.78044039362642426</v>
      </c>
      <c r="C396" s="18" t="str">
        <v>-</v>
      </c>
    </row>
    <row r="397" spans="1:3" x14ac:dyDescent="0.35">
      <c r="A397" s="16" t="str">
        <v>stage2.station.1.a</v>
      </c>
      <c r="B397" s="17">
        <v>167.54637347191712</v>
      </c>
      <c r="C397" s="18" t="str">
        <v>m/s</v>
      </c>
    </row>
    <row r="398" spans="1:3" x14ac:dyDescent="0.35">
      <c r="A398" s="16" t="str">
        <v>stage2.station.1.h</v>
      </c>
      <c r="B398" s="17">
        <v>322773.26027495309</v>
      </c>
      <c r="C398" s="18" t="str">
        <v>J/kg</v>
      </c>
    </row>
    <row r="399" spans="1:3" x14ac:dyDescent="0.35">
      <c r="A399" s="16" t="str">
        <v>stage2.station.1.s</v>
      </c>
      <c r="B399" s="17">
        <v>998.06178797657708</v>
      </c>
      <c r="C399" s="18" t="str">
        <v>J/kg/K</v>
      </c>
    </row>
    <row r="400" spans="1:3" x14ac:dyDescent="0.35">
      <c r="A400" s="16" t="str">
        <v>stage2.station.1.v</v>
      </c>
      <c r="B400" s="17">
        <v>222.08768451299869</v>
      </c>
      <c r="C400" s="18" t="str">
        <v>m/s</v>
      </c>
    </row>
    <row r="401" spans="1:3" x14ac:dyDescent="0.35">
      <c r="A401" s="16" t="str">
        <v>stage2.station.1.w</v>
      </c>
      <c r="B401" s="17">
        <v>222.08768451299869</v>
      </c>
      <c r="C401" s="18" t="str">
        <v>m/s</v>
      </c>
    </row>
    <row r="402" spans="1:3" x14ac:dyDescent="0.35">
      <c r="A402" s="16" t="str">
        <v>stage2.station.1.u</v>
      </c>
      <c r="B402" s="17">
        <v>0</v>
      </c>
      <c r="C402" s="18" t="str">
        <v>m/s</v>
      </c>
    </row>
    <row r="403" spans="1:3" x14ac:dyDescent="0.35">
      <c r="A403" s="16" t="str">
        <v>stage2.station.1.v_m</v>
      </c>
      <c r="B403" s="17">
        <v>75.958461688001734</v>
      </c>
      <c r="C403" s="18" t="str">
        <v>m/s</v>
      </c>
    </row>
    <row r="404" spans="1:3" x14ac:dyDescent="0.35">
      <c r="A404" s="16" t="str">
        <v>stage2.station.1.v_t</v>
      </c>
      <c r="B404" s="17">
        <v>208.69415830429372</v>
      </c>
      <c r="C404" s="18" t="str">
        <v>m/s</v>
      </c>
    </row>
    <row r="405" spans="1:3" x14ac:dyDescent="0.35">
      <c r="A405" s="16" t="str">
        <v>stage2.station.1.w_m</v>
      </c>
      <c r="B405" s="17">
        <v>75.958461688001734</v>
      </c>
      <c r="C405" s="18" t="str">
        <v>m/s</v>
      </c>
    </row>
    <row r="406" spans="1:3" x14ac:dyDescent="0.35">
      <c r="A406" s="16" t="str">
        <v>stage2.station.1.w_t</v>
      </c>
      <c r="B406" s="17">
        <v>208.69415830429372</v>
      </c>
      <c r="C406" s="18" t="str">
        <v>m/s</v>
      </c>
    </row>
    <row r="407" spans="1:3" x14ac:dyDescent="0.35">
      <c r="A407" s="16" t="str">
        <v>stage2.station.1.alpha</v>
      </c>
      <c r="B407" s="17">
        <v>70</v>
      </c>
      <c r="C407" s="18" t="str">
        <v>deg</v>
      </c>
    </row>
    <row r="408" spans="1:3" x14ac:dyDescent="0.35">
      <c r="A408" s="16" t="str">
        <v>stage2.station.1.beta</v>
      </c>
      <c r="B408" s="17">
        <v>70</v>
      </c>
      <c r="C408" s="18" t="str">
        <v>deg</v>
      </c>
    </row>
    <row r="409" spans="1:3" x14ac:dyDescent="0.35">
      <c r="A409" s="16" t="str">
        <v>stage2.station.1.Ma_abs</v>
      </c>
      <c r="B409" s="17">
        <v>1.3255296423961296</v>
      </c>
      <c r="C409" s="18" t="str">
        <v>-</v>
      </c>
    </row>
    <row r="410" spans="1:3" x14ac:dyDescent="0.35">
      <c r="A410" s="16" t="str">
        <v>stage2.station.1.Ma_rel</v>
      </c>
      <c r="B410" s="17">
        <v>1.3255296423961296</v>
      </c>
      <c r="C410" s="18" t="str">
        <v>-</v>
      </c>
    </row>
    <row r="411" spans="1:3" x14ac:dyDescent="0.35">
      <c r="A411" s="16" t="str">
        <v>stage2.station.1.Re</v>
      </c>
      <c r="B411" s="17">
        <v>7635400.107535339</v>
      </c>
      <c r="C411" s="18" t="str">
        <v>-</v>
      </c>
    </row>
    <row r="412" spans="1:3" x14ac:dyDescent="0.35">
      <c r="A412" s="16" t="str">
        <v>stage2.station.1.p0_rel</v>
      </c>
      <c r="B412" s="17">
        <v>3.9331119454183905</v>
      </c>
      <c r="C412" s="18" t="str">
        <v>bar</v>
      </c>
    </row>
    <row r="413" spans="1:3" x14ac:dyDescent="0.35">
      <c r="A413" s="16" t="str">
        <v>stage2.station.1.r</v>
      </c>
      <c r="B413" s="17">
        <v>176.45343424268427</v>
      </c>
      <c r="C413" s="18" t="str">
        <v>mm</v>
      </c>
    </row>
    <row r="414" spans="1:3" x14ac:dyDescent="0.35">
      <c r="A414" s="16" t="str">
        <v>stage2.station.1.H</v>
      </c>
      <c r="B414" s="17">
        <v>10.539261084326172</v>
      </c>
      <c r="C414" s="18" t="str">
        <v>mm</v>
      </c>
    </row>
    <row r="415" spans="1:3" x14ac:dyDescent="0.35">
      <c r="A415" s="16" t="str">
        <v>stage2.station.1.I</v>
      </c>
      <c r="B415" s="17">
        <v>347434.73008121515</v>
      </c>
      <c r="C415" s="18" t="str">
        <v>J/kg</v>
      </c>
    </row>
    <row r="416" spans="1:3" x14ac:dyDescent="0.35">
      <c r="A416" s="16" t="str">
        <v>stage2.station.1.h0</v>
      </c>
      <c r="B416" s="17">
        <v>347434.73008112569</v>
      </c>
      <c r="C416" s="18" t="str">
        <v>J/kg</v>
      </c>
    </row>
    <row r="417" spans="1:3" x14ac:dyDescent="0.35">
      <c r="A417" s="16" t="str">
        <v>Stage 2 flow station 2</v>
      </c>
      <c r="B417" s="17" t="str">
        <v/>
      </c>
      <c r="C417" s="18" t="str">
        <v/>
      </c>
    </row>
    <row r="418" spans="1:3" x14ac:dyDescent="0.35">
      <c r="A418" s="16" t="str">
        <v>stage2.station.2.p</v>
      </c>
      <c r="B418" s="17">
        <v>1.7665869307012203</v>
      </c>
      <c r="C418" s="18" t="str">
        <v>bar</v>
      </c>
    </row>
    <row r="419" spans="1:3" x14ac:dyDescent="0.35">
      <c r="A419" s="16" t="str">
        <v>stage2.station.2.T</v>
      </c>
      <c r="B419" s="17">
        <v>326.5456903978847</v>
      </c>
      <c r="C419" s="18" t="str">
        <v>K</v>
      </c>
    </row>
    <row r="420" spans="1:3" x14ac:dyDescent="0.35">
      <c r="A420" s="16" t="str">
        <v>stage2.station.2.d</v>
      </c>
      <c r="B420" s="17">
        <v>6.0783355989381294</v>
      </c>
      <c r="C420" s="18" t="str">
        <v>kg/m3</v>
      </c>
    </row>
    <row r="421" spans="1:3" x14ac:dyDescent="0.35">
      <c r="A421" s="16" t="str">
        <v>stage2.station.2.q</v>
      </c>
      <c r="B421" s="17">
        <v>0.82471667711509</v>
      </c>
      <c r="C421" s="18" t="str">
        <v>-</v>
      </c>
    </row>
    <row r="422" spans="1:3" x14ac:dyDescent="0.35">
      <c r="A422" s="16" t="str">
        <v>stage2.station.2.Z</v>
      </c>
      <c r="B422" s="17">
        <v>0.77232720995071724</v>
      </c>
      <c r="C422" s="18" t="str">
        <v>-</v>
      </c>
    </row>
    <row r="423" spans="1:3" x14ac:dyDescent="0.35">
      <c r="A423" s="16" t="str">
        <v>stage2.station.2.a</v>
      </c>
      <c r="B423" s="17">
        <v>166.70637530187921</v>
      </c>
      <c r="C423" s="18" t="str">
        <v>m/s</v>
      </c>
    </row>
    <row r="424" spans="1:3" x14ac:dyDescent="0.35">
      <c r="A424" s="16" t="str">
        <v>stage2.station.2.h</v>
      </c>
      <c r="B424" s="17">
        <v>324896.48129583377</v>
      </c>
      <c r="C424" s="18" t="str">
        <v>J/kg</v>
      </c>
    </row>
    <row r="425" spans="1:3" x14ac:dyDescent="0.35">
      <c r="A425" s="16" t="str">
        <v>stage2.station.2.s</v>
      </c>
      <c r="B425" s="17">
        <v>998.06178797657708</v>
      </c>
      <c r="C425" s="18" t="str">
        <v>J/kg/K</v>
      </c>
    </row>
    <row r="426" spans="1:3" x14ac:dyDescent="0.35">
      <c r="A426" s="16" t="str">
        <v>stage2.station.2.v</v>
      </c>
      <c r="B426" s="17">
        <v>212.31226429621856</v>
      </c>
      <c r="C426" s="18" t="str">
        <v>m/s</v>
      </c>
    </row>
    <row r="427" spans="1:3" x14ac:dyDescent="0.35">
      <c r="A427" s="16" t="str">
        <v>stage2.station.2.w</v>
      </c>
      <c r="B427" s="17">
        <v>76.015726930738253</v>
      </c>
      <c r="C427" s="18" t="str">
        <v>m/s</v>
      </c>
    </row>
    <row r="428" spans="1:3" x14ac:dyDescent="0.35">
      <c r="A428" s="16" t="str">
        <v>stage2.station.2.u</v>
      </c>
      <c r="B428" s="17">
        <v>195.30939296575033</v>
      </c>
      <c r="C428" s="18" t="str">
        <v>m/s</v>
      </c>
    </row>
    <row r="429" spans="1:3" x14ac:dyDescent="0.35">
      <c r="A429" s="16" t="str">
        <v>stage2.station.2.v_m</v>
      </c>
      <c r="B429" s="17">
        <v>75.958461688001734</v>
      </c>
      <c r="C429" s="18" t="str">
        <v>m/s</v>
      </c>
    </row>
    <row r="430" spans="1:3" x14ac:dyDescent="0.35">
      <c r="A430" s="16" t="str">
        <v>stage2.station.2.v_t</v>
      </c>
      <c r="B430" s="17">
        <v>198.25945038907912</v>
      </c>
      <c r="C430" s="18" t="str">
        <v>m/s</v>
      </c>
    </row>
    <row r="431" spans="1:3" x14ac:dyDescent="0.35">
      <c r="A431" s="16" t="str">
        <v>stage2.station.2.w_m</v>
      </c>
      <c r="B431" s="17">
        <v>75.958461688001734</v>
      </c>
      <c r="C431" s="18" t="str">
        <v>m/s</v>
      </c>
    </row>
    <row r="432" spans="1:3" x14ac:dyDescent="0.35">
      <c r="A432" s="16" t="str">
        <v>stage2.station.2.w_t</v>
      </c>
      <c r="B432" s="17">
        <v>2.9500574233287375</v>
      </c>
      <c r="C432" s="18" t="str">
        <v>m/s</v>
      </c>
    </row>
    <row r="433" spans="1:3" x14ac:dyDescent="0.35">
      <c r="A433" s="16" t="str">
        <v>stage2.station.2.alpha</v>
      </c>
      <c r="B433" s="17">
        <v>69.036836565754541</v>
      </c>
      <c r="C433" s="18" t="str">
        <v>deg</v>
      </c>
    </row>
    <row r="434" spans="1:3" x14ac:dyDescent="0.35">
      <c r="A434" s="16" t="str">
        <v>stage2.station.2.beta</v>
      </c>
      <c r="B434" s="17">
        <v>2.2241226073948148</v>
      </c>
      <c r="C434" s="18" t="str">
        <v>deg</v>
      </c>
    </row>
    <row r="435" spans="1:3" x14ac:dyDescent="0.35">
      <c r="A435" s="16" t="str">
        <v>stage2.station.2.Ma_abs</v>
      </c>
      <c r="B435" s="17">
        <v>1.2735701553810057</v>
      </c>
      <c r="C435" s="18" t="str">
        <v>-</v>
      </c>
    </row>
    <row r="436" spans="1:3" x14ac:dyDescent="0.35">
      <c r="A436" s="16" t="str">
        <v>stage2.station.2.Ma_rel</v>
      </c>
      <c r="B436" s="17">
        <v>0.45598572216020922</v>
      </c>
      <c r="C436" s="18" t="str">
        <v>-</v>
      </c>
    </row>
    <row r="437" spans="1:3" x14ac:dyDescent="0.35">
      <c r="A437" s="16" t="str">
        <v>stage2.station.2.Re</v>
      </c>
      <c r="B437" s="17">
        <v>3506500.3971599513</v>
      </c>
      <c r="C437" s="18" t="str">
        <v>-</v>
      </c>
    </row>
    <row r="438" spans="1:3" x14ac:dyDescent="0.35">
      <c r="A438" s="16" t="str">
        <v>stage2.station.2.p0_rel</v>
      </c>
      <c r="B438" s="17">
        <v>1.9517043086143508</v>
      </c>
      <c r="C438" s="18" t="str">
        <v>bar</v>
      </c>
    </row>
    <row r="439" spans="1:3" x14ac:dyDescent="0.35">
      <c r="A439" s="16" t="str">
        <v>stage2.station.2.r</v>
      </c>
      <c r="B439" s="17">
        <v>185.74045709756237</v>
      </c>
      <c r="C439" s="18" t="str">
        <v>mm</v>
      </c>
    </row>
    <row r="440" spans="1:3" x14ac:dyDescent="0.35">
      <c r="A440" s="16" t="str">
        <v>stage2.station.2.H</v>
      </c>
      <c r="B440" s="17">
        <v>9.2794618445766499</v>
      </c>
      <c r="C440" s="18" t="str">
        <v>mm</v>
      </c>
    </row>
    <row r="441" spans="1:3" x14ac:dyDescent="0.35">
      <c r="A441" s="16" t="str">
        <v>stage2.station.2.I</v>
      </c>
      <c r="B441" s="17">
        <v>308712.79717600084</v>
      </c>
      <c r="C441" s="18" t="str">
        <v>J/kg</v>
      </c>
    </row>
    <row r="442" spans="1:3" x14ac:dyDescent="0.35">
      <c r="A442" s="16" t="str">
        <v>stage2.station.2.h0</v>
      </c>
      <c r="B442" s="17">
        <v>347434.73008112743</v>
      </c>
      <c r="C442" s="18" t="str">
        <v>J/kg</v>
      </c>
    </row>
    <row r="443" spans="1:3" x14ac:dyDescent="0.35">
      <c r="A443" s="16" t="str">
        <v>Stage 2 flow station 3</v>
      </c>
      <c r="B443" s="17" t="str">
        <v/>
      </c>
      <c r="C443" s="18" t="str">
        <v/>
      </c>
    </row>
    <row r="444" spans="1:3" x14ac:dyDescent="0.35">
      <c r="A444" s="16" t="str">
        <v>stage2.station.3.p</v>
      </c>
      <c r="B444" s="17">
        <v>1.000000000006025</v>
      </c>
      <c r="C444" s="18" t="str">
        <v>bar</v>
      </c>
    </row>
    <row r="445" spans="1:3" x14ac:dyDescent="0.35">
      <c r="A445" s="16" t="str">
        <v>stage2.station.3.T</v>
      </c>
      <c r="B445" s="17">
        <v>308.82418923975672</v>
      </c>
      <c r="C445" s="18" t="str">
        <v>K</v>
      </c>
    </row>
    <row r="446" spans="1:3" x14ac:dyDescent="0.35">
      <c r="A446" s="16" t="str">
        <v>stage2.station.3.d</v>
      </c>
      <c r="B446" s="17">
        <v>3.3999735255636208</v>
      </c>
      <c r="C446" s="18" t="str">
        <v>kg/m3</v>
      </c>
    </row>
    <row r="447" spans="1:3" x14ac:dyDescent="0.35">
      <c r="A447" s="16" t="str">
        <v>stage2.station.3.q</v>
      </c>
      <c r="B447" s="17">
        <v>0.86347382631935987</v>
      </c>
      <c r="C447" s="18" t="str">
        <v>-</v>
      </c>
    </row>
    <row r="448" spans="1:3" x14ac:dyDescent="0.35">
      <c r="A448" s="16" t="str">
        <v>stage2.station.3.Z</v>
      </c>
      <c r="B448" s="17">
        <v>0.82643387178709005</v>
      </c>
      <c r="C448" s="18" t="str">
        <v>-</v>
      </c>
    </row>
    <row r="449" spans="1:3" x14ac:dyDescent="0.35">
      <c r="A449" s="16" t="str">
        <v>stage2.station.3.a</v>
      </c>
      <c r="B449" s="17">
        <v>171.503066913564</v>
      </c>
      <c r="C449" s="18" t="str">
        <v>m/s</v>
      </c>
    </row>
    <row r="450" spans="1:3" x14ac:dyDescent="0.35">
      <c r="A450" s="16" t="str">
        <v>stage2.station.3.h</v>
      </c>
      <c r="B450" s="17">
        <v>308222.88345329871</v>
      </c>
      <c r="C450" s="18" t="str">
        <v>J/kg</v>
      </c>
    </row>
    <row r="451" spans="1:3" x14ac:dyDescent="0.35">
      <c r="A451" s="16" t="str">
        <v>stage2.station.3.s</v>
      </c>
      <c r="B451" s="17">
        <v>998.06178797657708</v>
      </c>
      <c r="C451" s="18" t="str">
        <v>J/kg/K</v>
      </c>
    </row>
    <row r="452" spans="1:3" x14ac:dyDescent="0.35">
      <c r="A452" s="16" t="str">
        <v>stage2.station.3.v</v>
      </c>
      <c r="B452" s="17">
        <v>76.615876160371002</v>
      </c>
      <c r="C452" s="18" t="str">
        <v>m/s</v>
      </c>
    </row>
    <row r="453" spans="1:3" x14ac:dyDescent="0.35">
      <c r="A453" s="16" t="str">
        <v>stage2.station.3.w</v>
      </c>
      <c r="B453" s="17">
        <v>246.13527957781028</v>
      </c>
      <c r="C453" s="18" t="str">
        <v>m/s</v>
      </c>
    </row>
    <row r="454" spans="1:3" x14ac:dyDescent="0.35">
      <c r="A454" s="16" t="str">
        <v>stage2.station.3.u</v>
      </c>
      <c r="B454" s="17">
        <v>244.1367412071879</v>
      </c>
      <c r="C454" s="18" t="str">
        <v>m/s</v>
      </c>
    </row>
    <row r="455" spans="1:3" x14ac:dyDescent="0.35">
      <c r="A455" s="16" t="str">
        <v>stage2.station.3.v_m</v>
      </c>
      <c r="B455" s="17">
        <v>75.958461688001734</v>
      </c>
      <c r="C455" s="18" t="str">
        <v>m/s</v>
      </c>
    </row>
    <row r="456" spans="1:3" x14ac:dyDescent="0.35">
      <c r="A456" s="16" t="str">
        <v>stage2.station.3.v_t</v>
      </c>
      <c r="B456" s="17">
        <v>10.015217312354135</v>
      </c>
      <c r="C456" s="18" t="str">
        <v>m/s</v>
      </c>
    </row>
    <row r="457" spans="1:3" x14ac:dyDescent="0.35">
      <c r="A457" s="16" t="str">
        <v>stage2.station.3.w_m</v>
      </c>
      <c r="B457" s="17">
        <v>75.958461688001734</v>
      </c>
      <c r="C457" s="18" t="str">
        <v>m/s</v>
      </c>
    </row>
    <row r="458" spans="1:3" x14ac:dyDescent="0.35">
      <c r="A458" s="16" t="str">
        <v>stage2.station.3.w_t</v>
      </c>
      <c r="B458" s="17">
        <v>-234.12152389483373</v>
      </c>
      <c r="C458" s="18" t="str">
        <v>m/s</v>
      </c>
    </row>
    <row r="459" spans="1:3" x14ac:dyDescent="0.35">
      <c r="A459" s="16" t="str">
        <v>stage2.station.3.alpha</v>
      </c>
      <c r="B459" s="17">
        <v>7.5111927735545709</v>
      </c>
      <c r="C459" s="18" t="str">
        <v>deg</v>
      </c>
    </row>
    <row r="460" spans="1:3" x14ac:dyDescent="0.35">
      <c r="A460" s="16" t="str">
        <v>stage2.station.3.beta</v>
      </c>
      <c r="B460" s="17">
        <v>-72.024847040061545</v>
      </c>
      <c r="C460" s="18" t="str">
        <v>deg</v>
      </c>
    </row>
    <row r="461" spans="1:3" x14ac:dyDescent="0.35">
      <c r="A461" s="16" t="str">
        <v>stage2.station.3.Ma_abs</v>
      </c>
      <c r="B461" s="17">
        <v>0.44673181383388738</v>
      </c>
      <c r="C461" s="18" t="str">
        <v>-</v>
      </c>
    </row>
    <row r="462" spans="1:3" x14ac:dyDescent="0.35">
      <c r="A462" s="16" t="str">
        <v>stage2.station.3.Ma_rel</v>
      </c>
      <c r="B462" s="17">
        <v>1.4351654696755962</v>
      </c>
      <c r="C462" s="18" t="str">
        <v>-</v>
      </c>
    </row>
    <row r="463" spans="1:3" x14ac:dyDescent="0.35">
      <c r="A463" s="16" t="str">
        <v>stage2.station.3.Re</v>
      </c>
      <c r="B463" s="17">
        <v>6755223.3878407283</v>
      </c>
      <c r="C463" s="18" t="str">
        <v>-</v>
      </c>
    </row>
    <row r="464" spans="1:3" x14ac:dyDescent="0.35">
      <c r="A464" s="16" t="str">
        <v>stage2.station.3.p0_rel</v>
      </c>
      <c r="B464" s="17">
        <v>2.8427777831931076</v>
      </c>
      <c r="C464" s="18" t="str">
        <v>bar</v>
      </c>
    </row>
    <row r="465" spans="1:3" x14ac:dyDescent="0.35">
      <c r="A465" s="16" t="str">
        <v>stage2.station.3.r</v>
      </c>
      <c r="B465" s="17">
        <v>232.17557137195297</v>
      </c>
      <c r="C465" s="18" t="str">
        <v>mm</v>
      </c>
    </row>
    <row r="466" spans="1:3" x14ac:dyDescent="0.35">
      <c r="A466" s="16" t="str">
        <v>stage2.station.3.H</v>
      </c>
      <c r="B466" s="17">
        <v>13.271558227096055</v>
      </c>
      <c r="C466" s="18" t="str">
        <v>mm</v>
      </c>
    </row>
    <row r="467" spans="1:3" x14ac:dyDescent="0.35">
      <c r="A467" s="16" t="str">
        <v>stage2.station.3.I</v>
      </c>
      <c r="B467" s="17">
        <v>308712.79717600084</v>
      </c>
      <c r="C467" s="18" t="str">
        <v>J/kg</v>
      </c>
    </row>
    <row r="468" spans="1:3" x14ac:dyDescent="0.35">
      <c r="A468" s="16" t="str">
        <v>stage2.station.3.h0</v>
      </c>
      <c r="B468" s="17">
        <v>311157.87969320937</v>
      </c>
      <c r="C468" s="18" t="str">
        <v>J/kg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meanline_calculator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Agromayor</dc:creator>
  <cp:lastModifiedBy>Roberto Agromayor</cp:lastModifiedBy>
  <dcterms:created xsi:type="dcterms:W3CDTF">2015-06-05T18:19:34Z</dcterms:created>
  <dcterms:modified xsi:type="dcterms:W3CDTF">2026-05-25T19:19:29Z</dcterms:modified>
</cp:coreProperties>
</file>