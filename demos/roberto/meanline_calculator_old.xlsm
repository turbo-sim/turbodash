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roberto/"/>
    </mc:Choice>
  </mc:AlternateContent>
  <xr:revisionPtr revIDLastSave="265" documentId="8_{08BF77FE-79AC-441A-9B8D-C8D1ECA11C86}" xr6:coauthVersionLast="47" xr6:coauthVersionMax="47" xr10:uidLastSave="{5535A8FB-0539-44BB-99CB-D2E162E48131}"/>
  <bookViews>
    <workbookView xWindow="-98" yWindow="-98" windowWidth="28996" windowHeight="15675" xr2:uid="{00000000-000D-0000-FFFF-FFFF00000000}"/>
  </bookViews>
  <sheets>
    <sheet name="meanline_calculator" sheetId="2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_meanline_calcul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_turbine_calcul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l_all_resul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l_efficiency_tt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l_stage_performan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A30" i="2" a="1"/>
  <c r="A3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<sst xmlns="http://schemas.openxmlformats.org/spreadsheetml/2006/main" count="57" uniqueCount="38">
  <si>
    <t>Value</t>
  </si>
  <si>
    <t>Unit</t>
  </si>
  <si>
    <t>Fluid &amp; operating conditions</t>
  </si>
  <si>
    <t>fluid_name</t>
  </si>
  <si>
    <t>-</t>
  </si>
  <si>
    <t>inlet_property_pair</t>
  </si>
  <si>
    <t>inlet_property_1</t>
  </si>
  <si>
    <t>Pa</t>
  </si>
  <si>
    <t>inlet_property_2</t>
  </si>
  <si>
    <t>K</t>
  </si>
  <si>
    <t>exit_pressure</t>
  </si>
  <si>
    <t>mass_flow_rate</t>
  </si>
  <si>
    <t>kg/s</t>
  </si>
  <si>
    <t>Aerodynamic design parameters</t>
  </si>
  <si>
    <t>stator_inlet_angle</t>
  </si>
  <si>
    <t>deg</t>
  </si>
  <si>
    <t>stator_exit_angle</t>
  </si>
  <si>
    <t>blade_velocity_ratio</t>
  </si>
  <si>
    <t>degree_reaction</t>
  </si>
  <si>
    <t>meridional_velocity_ratio_12</t>
  </si>
  <si>
    <t>meridional_velocity_ratio_23</t>
  </si>
  <si>
    <t>meridional_velocity_ratio_34</t>
  </si>
  <si>
    <t>Geometry parameters</t>
  </si>
  <si>
    <t>radius_ratio_12</t>
  </si>
  <si>
    <t>radius_ratio_23</t>
  </si>
  <si>
    <t>radius_ratio_34</t>
  </si>
  <si>
    <t>height_radius_ratio</t>
  </si>
  <si>
    <t>stage_type</t>
  </si>
  <si>
    <t>radial</t>
  </si>
  <si>
    <t>Loss &amp; loading coefficients</t>
  </si>
  <si>
    <t>zweiffel_stator</t>
  </si>
  <si>
    <t>zweiffel_rotor</t>
  </si>
  <si>
    <t>loss_coeff_stator</t>
  </si>
  <si>
    <t>loss_coeff_rotor</t>
  </si>
  <si>
    <t>Output variables</t>
  </si>
  <si>
    <t>Input variables</t>
  </si>
  <si>
    <t>Pentane</t>
  </si>
  <si>
    <t>QT_INPUTS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</si>
</sst>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4057"/>
      </patternFill>
    </fill>
    <fill>
      <patternFill patternType="solid">
        <fgColor rgb="FFE8ED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1" fillId="0" borderId="1" xfId="0" applyNumberFormat="1" applyFont="1" applyBorder="1" applyAlignment="1">
      <alignment horizontal="right" vertical="center"/>
    </xf>
    <xf numFmtId="0" fontId="3" fillId="3" borderId="1" xfId="0" applyFont="1" applyFill="1" applyBorder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5" fillId="0" borderId="0" xfId="0" applyFont="1"/>
    <xf numFmtId="164" fontId="1" fillId="3" borderId="1" xfId="0" applyNumberFormat="1" applyFont="1" applyFill="1" applyBorder="1"/>
    <xf numFmtId="0" fontId="5" fillId="3" borderId="1" xfId="0" applyFont="1" applyFill="1" applyBorder="1" applyAlignment="1">
      <alignment horizontal="center"/>
    </xf>
    <xf numFmtId="164" fontId="5" fillId="0" borderId="0" xfId="0" applyNumberFormat="1" applyFont="1"/>
    <xf numFmtId="0" fontId="6" fillId="3" borderId="1" xfId="0" applyFont="1" applyFill="1" applyBorder="1"/>
    <xf numFmtId="164" fontId="6" fillId="3" borderId="1" xfId="0" applyNumberFormat="1" applyFont="1" applyFill="1" applyBorder="1"/>
    <xf numFmtId="0" fontId="5" fillId="3" borderId="1" xfId="0" applyFont="1" applyFill="1" applyBorder="1"/>
    <xf numFmtId="0" fontId="5" fillId="0" borderId="0" xfId="0" applyFont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vertical="center"/>
    </xf>
    <xf numFmtId="0" fontId="5" fillId="0" borderId="1" xfId="0" applyFont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EDF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2627-4773-4C53-8B3A-18585E57C7B9}">
  <sheetPr codeName="Sheet2"/>
  <dimension ref="A1:C169"/>
  <sheetViews>
    <sheetView tabSelected="1" workbookViewId="0">
      <selection activeCell="A31" sqref="A31"/>
    </sheetView>
  </sheetViews>
  <sheetFormatPr defaultRowHeight="12.75" x14ac:dyDescent="0.35"/>
  <cols>
    <col min="1" max="1" width="45.46484375" style="7" bestFit="1" customWidth="1"/>
    <col min="2" max="2" width="12.9296875" style="10" customWidth="1"/>
    <col min="3" max="3" width="8.06640625" style="14" customWidth="1"/>
    <col min="4" max="16384" width="9.06640625" style="7"/>
  </cols>
  <sheetData>
    <row r="1" spans="1:3" ht="13.15" x14ac:dyDescent="0.35">
      <c r="A1" s="5" t="s">
        <v>35</v>
      </c>
      <c r="B1" s="6" t="s">
        <v>0</v>
      </c>
      <c r="C1" s="5" t="s">
        <v>1</v>
      </c>
    </row>
    <row r="2" spans="1:3" x14ac:dyDescent="0.35">
      <c r="A2" s="16" t="s">
        <v>2</v>
      </c>
      <c r="B2" s="13"/>
      <c r="C2" s="13"/>
    </row>
    <row r="3" spans="1:3" x14ac:dyDescent="0.35">
      <c r="A3" s="3" t="s">
        <v>3</v>
      </c>
      <c r="B3" s="1" t="s">
        <v>36</v>
      </c>
      <c r="C3" s="4" t="s">
        <v>4</v>
      </c>
    </row>
    <row r="4" spans="1:3" x14ac:dyDescent="0.35">
      <c r="A4" s="3" t="s">
        <v>5</v>
      </c>
      <c r="B4" s="1" t="s">
        <v>37</v>
      </c>
      <c r="C4" s="4" t="s">
        <v>4</v>
      </c>
    </row>
    <row r="5" spans="1:3" x14ac:dyDescent="0.35">
      <c r="A5" s="3" t="s">
        <v>6</v>
      </c>
      <c r="B5" s="20">
        <v>0.3</v>
      </c>
      <c r="C5" s="4" t="s">
        <v>7</v>
      </c>
    </row>
    <row r="6" spans="1:3" x14ac:dyDescent="0.35">
      <c r="A6" s="3" t="s">
        <v>8</v>
      </c>
      <c r="B6" s="1">
        <f>150+273.15</f>
        <v>423.15</v>
      </c>
      <c r="C6" s="4" t="s">
        <v>9</v>
      </c>
    </row>
    <row r="7" spans="1:3" x14ac:dyDescent="0.35">
      <c r="A7" s="3" t="s">
        <v>10</v>
      </c>
      <c r="B7" s="1">
        <v>100000</v>
      </c>
      <c r="C7" s="4" t="s">
        <v>7</v>
      </c>
    </row>
    <row r="8" spans="1:3" x14ac:dyDescent="0.35">
      <c r="A8" s="3" t="s">
        <v>11</v>
      </c>
      <c r="B8" s="1">
        <v>5</v>
      </c>
      <c r="C8" s="4" t="s">
        <v>12</v>
      </c>
    </row>
    <row r="9" spans="1:3" x14ac:dyDescent="0.35">
      <c r="A9" s="16" t="s">
        <v>13</v>
      </c>
      <c r="B9" s="13"/>
      <c r="C9" s="13"/>
    </row>
    <row r="10" spans="1:3" x14ac:dyDescent="0.35">
      <c r="A10" s="3" t="s">
        <v>14</v>
      </c>
      <c r="B10" s="1">
        <v>0</v>
      </c>
      <c r="C10" s="4" t="s">
        <v>15</v>
      </c>
    </row>
    <row r="11" spans="1:3" x14ac:dyDescent="0.35">
      <c r="A11" s="3" t="s">
        <v>16</v>
      </c>
      <c r="B11" s="1">
        <v>70</v>
      </c>
      <c r="C11" s="4" t="s">
        <v>15</v>
      </c>
    </row>
    <row r="12" spans="1:3" x14ac:dyDescent="0.35">
      <c r="A12" s="3" t="s">
        <v>17</v>
      </c>
      <c r="B12" s="1">
        <v>0.7</v>
      </c>
      <c r="C12" s="4" t="s">
        <v>4</v>
      </c>
    </row>
    <row r="13" spans="1:3" x14ac:dyDescent="0.35">
      <c r="A13" s="3" t="s">
        <v>18</v>
      </c>
      <c r="B13" s="1">
        <v>0.5</v>
      </c>
      <c r="C13" s="4" t="s">
        <v>4</v>
      </c>
    </row>
    <row r="14" spans="1:3" x14ac:dyDescent="0.35">
      <c r="A14" s="3" t="s">
        <v>19</v>
      </c>
      <c r="B14" s="1">
        <v>1</v>
      </c>
      <c r="C14" s="4" t="s">
        <v>4</v>
      </c>
    </row>
    <row r="15" spans="1:3" x14ac:dyDescent="0.35">
      <c r="A15" s="3" t="s">
        <v>20</v>
      </c>
      <c r="B15" s="1">
        <v>1</v>
      </c>
      <c r="C15" s="4" t="s">
        <v>4</v>
      </c>
    </row>
    <row r="16" spans="1:3" x14ac:dyDescent="0.35">
      <c r="A16" s="3" t="s">
        <v>21</v>
      </c>
      <c r="B16" s="1">
        <v>1</v>
      </c>
      <c r="C16" s="4" t="s">
        <v>4</v>
      </c>
    </row>
    <row r="17" spans="1:3" x14ac:dyDescent="0.35">
      <c r="A17" s="16" t="s">
        <v>22</v>
      </c>
      <c r="B17" s="13"/>
      <c r="C17" s="13"/>
    </row>
    <row r="18" spans="1:3" x14ac:dyDescent="0.35">
      <c r="A18" s="3" t="s">
        <v>27</v>
      </c>
      <c r="B18" s="1" t="s">
        <v>28</v>
      </c>
      <c r="C18" s="4" t="s">
        <v>4</v>
      </c>
    </row>
    <row r="19" spans="1:3" x14ac:dyDescent="0.35">
      <c r="A19" s="3" t="s">
        <v>23</v>
      </c>
      <c r="B19" s="1">
        <v>0.75</v>
      </c>
      <c r="C19" s="4" t="s">
        <v>4</v>
      </c>
    </row>
    <row r="20" spans="1:3" x14ac:dyDescent="0.35">
      <c r="A20" s="3" t="s">
        <v>24</v>
      </c>
      <c r="B20" s="1">
        <v>0.95</v>
      </c>
      <c r="C20" s="4" t="s">
        <v>4</v>
      </c>
    </row>
    <row r="21" spans="1:3" x14ac:dyDescent="0.35">
      <c r="A21" s="3" t="s">
        <v>25</v>
      </c>
      <c r="B21" s="1">
        <v>0.8</v>
      </c>
      <c r="C21" s="4" t="s">
        <v>4</v>
      </c>
    </row>
    <row r="22" spans="1:3" x14ac:dyDescent="0.35">
      <c r="A22" s="3" t="s">
        <v>26</v>
      </c>
      <c r="B22" s="1">
        <v>0.25</v>
      </c>
      <c r="C22" s="4" t="s">
        <v>4</v>
      </c>
    </row>
    <row r="23" spans="1:3" x14ac:dyDescent="0.35">
      <c r="A23" s="16" t="s">
        <v>29</v>
      </c>
      <c r="B23" s="13"/>
      <c r="C23" s="13"/>
    </row>
    <row r="24" spans="1:3" x14ac:dyDescent="0.35">
      <c r="A24" s="3" t="s">
        <v>30</v>
      </c>
      <c r="B24" s="1">
        <v>0.7</v>
      </c>
      <c r="C24" s="4" t="s">
        <v>4</v>
      </c>
    </row>
    <row r="25" spans="1:3" x14ac:dyDescent="0.35">
      <c r="A25" s="3" t="s">
        <v>31</v>
      </c>
      <c r="B25" s="1">
        <v>0.7</v>
      </c>
      <c r="C25" s="4" t="s">
        <v>4</v>
      </c>
    </row>
    <row r="26" spans="1:3" x14ac:dyDescent="0.35">
      <c r="A26" s="3" t="s">
        <v>32</v>
      </c>
      <c r="B26" s="1">
        <v>0</v>
      </c>
      <c r="C26" s="4" t="s">
        <v>4</v>
      </c>
    </row>
    <row r="27" spans="1:3" x14ac:dyDescent="0.35">
      <c r="A27" s="3" t="s">
        <v>33</v>
      </c>
      <c r="B27" s="1">
        <v>0</v>
      </c>
      <c r="C27" s="4" t="s">
        <v>4</v>
      </c>
    </row>
    <row r="29" spans="1:3" ht="13.15" x14ac:dyDescent="0.35">
      <c r="A29" s="5" t="s">
        <v>34</v>
      </c>
      <c r="B29" s="6" t="s">
        <v>0</v>
      </c>
      <c r="C29" s="5" t="s">
        <v>1</v>
      </c>
    </row>
    <row r="30" spans="1:3" x14ac:dyDescent="0.35">
      <c r="A30" s="2" t="str" cm="1">
        <f t="array" ref="A30">excel_turbine_calculator($A$2:$A$27,$B$2:$B$27)</f>
        <v>ValueError: `stages:` list is empty -- need at least one stage.
    raise ValueError("`stages:` list is empty -- need at least one stage.")
  File "C:\Users\roagr\OneDrive - Danmarks Tekniske Universitet\Roberto\git_projects\turbodash\turbodash\core_turbine.py", line 1040, in compute_turbine_performance
                        ~~~~~~~~~~~~~~~~~~~~~~~~~~~^^^^^
    _cache[cache_key] = compute_turbine_performance(cfg)
  File "C:\Users\roagr\OneDrive - Danmarks Tekniske Universitet\Roberto\git_projects\turbodash\turbodash\excel_interface_turbine.py", line 284, in excel_turbine_calculator
    ret = func(*args)
  File "C:\Users\roagr\OneDrive - Danmarks Tekniske Universitet\Roberto\git_projects\turbodash\.venv\Lib\site-packages\xlwings\udfs.py", line 551, in call_udf
    res = call_udf(script, fname, args, this_workbook, FromVariant(caller))
  File "C:\Users\roagr\OneDrive - Danmarks Tekniske Universitet\Roberto\git_projects\turbodash\.venv\Lib\site-packages\xlwings\com_server.py", line 235, in CallUDF
    return func(*args)
  File "C:\Users\roagr\OneDrive - Danmarks Tekniske Universitet\Roberto\git_projects\turbodash\.venv\Lib\site-packages\win32com\server\policy.py", line 631, in _invokeex_
                     ~~~~~~~~~~~~~~~^^^^^^^^^^^^^^^^^^^^^^^^^^^^^^^^^^^^^^^^
    return S_OK, -1, self._invokeex_(dispid, lcid, wFlags, args, None, None)
  File "C:\Users\roagr\OneDrive - Danmarks Tekniske Universitet\Roberto\git_projects\turbodash\.venv\Lib\site-packages\win32com\server\policy.py", line 303, in _invoke_
           ~~~~~~~~~~~~~^^^^^^^^^^^^^^^^^^^^^^^^^^^^
    return self._invoke_(dispid, lcid, wFlags, args)
  File "C:\Users\roagr\OneDrive - Danmarks Tekniske Universitet\Roberto\git_projects\turbodash\.venv\Lib\site-packages\win32com\server\policy.py", line 298, in _Invoke_</v>
      </c>
      <c r="B30" s="8"/>
      <c r="C30" s="9"/>
    </row>
    <row r="31" spans="1:3" x14ac:dyDescent="0.35">
      <c r="A31" s="17"/>
      <c r="B31" s="18"/>
      <c r="C31" s="19"/>
    </row>
    <row r="32" spans="1:3" x14ac:dyDescent="0.35">
      <c r="A32" s="17"/>
      <c r="B32" s="18"/>
      <c r="C32" s="19"/>
    </row>
    <row r="33" spans="1:3" x14ac:dyDescent="0.35">
      <c r="A33" s="17"/>
      <c r="B33" s="18"/>
      <c r="C33" s="19"/>
    </row>
    <row r="34" spans="1:3" x14ac:dyDescent="0.35">
      <c r="A34" s="17"/>
      <c r="B34" s="18"/>
      <c r="C34" s="19"/>
    </row>
    <row r="35" spans="1:3" x14ac:dyDescent="0.35">
      <c r="A35" s="17"/>
      <c r="B35" s="18"/>
      <c r="C35" s="19"/>
    </row>
    <row r="36" spans="1:3" x14ac:dyDescent="0.35">
      <c r="A36" s="17"/>
      <c r="B36" s="18"/>
      <c r="C36" s="19"/>
    </row>
    <row r="37" spans="1:3" x14ac:dyDescent="0.35">
      <c r="A37" s="17"/>
      <c r="B37" s="18"/>
      <c r="C37" s="19"/>
    </row>
    <row r="38" spans="1:3" x14ac:dyDescent="0.35">
      <c r="A38" s="17"/>
      <c r="B38" s="18"/>
      <c r="C38" s="19"/>
    </row>
    <row r="39" spans="1:3" x14ac:dyDescent="0.35">
      <c r="A39" s="17"/>
      <c r="B39" s="18"/>
      <c r="C39" s="19"/>
    </row>
    <row r="40" spans="1:3" x14ac:dyDescent="0.35">
      <c r="A40" s="17"/>
      <c r="B40" s="18"/>
      <c r="C40" s="19"/>
    </row>
    <row r="41" spans="1:3" x14ac:dyDescent="0.35">
      <c r="A41" s="17"/>
      <c r="B41" s="18"/>
      <c r="C41" s="19"/>
    </row>
    <row r="42" spans="1:3" x14ac:dyDescent="0.35">
      <c r="A42" s="17"/>
      <c r="B42" s="18"/>
      <c r="C42" s="19"/>
    </row>
    <row r="43" spans="1:3" x14ac:dyDescent="0.35">
      <c r="A43" s="17"/>
      <c r="B43" s="18"/>
      <c r="C43" s="19"/>
    </row>
    <row r="44" spans="1:3" x14ac:dyDescent="0.35">
      <c r="A44" s="17"/>
      <c r="B44" s="18"/>
      <c r="C44" s="19"/>
    </row>
    <row r="45" spans="1:3" x14ac:dyDescent="0.35">
      <c r="A45" s="17"/>
      <c r="B45" s="18"/>
      <c r="C45" s="19"/>
    </row>
    <row r="46" spans="1:3" x14ac:dyDescent="0.35">
      <c r="A46" s="17"/>
      <c r="B46" s="18"/>
      <c r="C46" s="19"/>
    </row>
    <row r="47" spans="1:3" x14ac:dyDescent="0.35">
      <c r="A47" s="17"/>
      <c r="B47" s="18"/>
      <c r="C47" s="19"/>
    </row>
    <row r="48" spans="1:3" x14ac:dyDescent="0.35">
      <c r="A48" s="17"/>
      <c r="B48" s="18"/>
      <c r="C48" s="19"/>
    </row>
    <row r="49" spans="1:3" x14ac:dyDescent="0.35">
      <c r="A49" s="11"/>
      <c r="B49" s="12"/>
      <c r="C49" s="15"/>
    </row>
    <row r="50" spans="1:3" x14ac:dyDescent="0.35">
      <c r="A50" s="17"/>
      <c r="B50" s="18"/>
      <c r="C50" s="19"/>
    </row>
    <row r="51" spans="1:3" x14ac:dyDescent="0.35">
      <c r="A51" s="17"/>
      <c r="B51" s="18"/>
      <c r="C51" s="19"/>
    </row>
    <row r="52" spans="1:3" x14ac:dyDescent="0.35">
      <c r="A52" s="17"/>
      <c r="B52" s="18"/>
      <c r="C52" s="19"/>
    </row>
    <row r="53" spans="1:3" x14ac:dyDescent="0.35">
      <c r="A53" s="17"/>
      <c r="B53" s="18"/>
      <c r="C53" s="19"/>
    </row>
    <row r="54" spans="1:3" x14ac:dyDescent="0.35">
      <c r="A54" s="17"/>
      <c r="B54" s="18"/>
      <c r="C54" s="19"/>
    </row>
    <row r="55" spans="1:3" x14ac:dyDescent="0.35">
      <c r="A55" s="17"/>
      <c r="B55" s="18"/>
      <c r="C55" s="19"/>
    </row>
    <row r="56" spans="1:3" x14ac:dyDescent="0.35">
      <c r="A56" s="17"/>
      <c r="B56" s="18"/>
      <c r="C56" s="19"/>
    </row>
    <row r="57" spans="1:3" x14ac:dyDescent="0.35">
      <c r="A57" s="17"/>
      <c r="B57" s="18"/>
      <c r="C57" s="19"/>
    </row>
    <row r="58" spans="1:3" x14ac:dyDescent="0.35">
      <c r="A58" s="17"/>
      <c r="B58" s="18"/>
      <c r="C58" s="19"/>
    </row>
    <row r="59" spans="1:3" x14ac:dyDescent="0.35">
      <c r="A59" s="17"/>
      <c r="B59" s="18"/>
      <c r="C59" s="19"/>
    </row>
    <row r="60" spans="1:3" x14ac:dyDescent="0.35">
      <c r="A60" s="17"/>
      <c r="B60" s="18"/>
      <c r="C60" s="19"/>
    </row>
    <row r="61" spans="1:3" x14ac:dyDescent="0.35">
      <c r="A61" s="17"/>
      <c r="B61" s="18"/>
      <c r="C61" s="19"/>
    </row>
    <row r="62" spans="1:3" x14ac:dyDescent="0.35">
      <c r="A62" s="17"/>
      <c r="B62" s="18"/>
      <c r="C62" s="19"/>
    </row>
    <row r="63" spans="1:3" x14ac:dyDescent="0.35">
      <c r="A63" s="17"/>
      <c r="B63" s="18"/>
      <c r="C63" s="19"/>
    </row>
    <row r="64" spans="1:3" x14ac:dyDescent="0.35">
      <c r="A64" s="17"/>
      <c r="B64" s="18"/>
      <c r="C64" s="19"/>
    </row>
    <row r="65" spans="1:3" x14ac:dyDescent="0.35">
      <c r="A65" s="17"/>
      <c r="B65" s="18"/>
      <c r="C65" s="19"/>
    </row>
    <row r="66" spans="1:3" x14ac:dyDescent="0.35">
      <c r="A66" s="17"/>
      <c r="B66" s="18"/>
      <c r="C66" s="19"/>
    </row>
    <row r="67" spans="1:3" x14ac:dyDescent="0.35">
      <c r="A67" s="11"/>
      <c r="B67" s="12"/>
      <c r="C67" s="15"/>
    </row>
    <row r="68" spans="1:3" x14ac:dyDescent="0.35">
      <c r="A68" s="17"/>
      <c r="B68" s="18"/>
      <c r="C68" s="19"/>
    </row>
    <row r="69" spans="1:3" x14ac:dyDescent="0.35">
      <c r="A69" s="17"/>
      <c r="B69" s="18"/>
      <c r="C69" s="19"/>
    </row>
    <row r="70" spans="1:3" x14ac:dyDescent="0.35">
      <c r="A70" s="17"/>
      <c r="B70" s="18"/>
      <c r="C70" s="19"/>
    </row>
    <row r="71" spans="1:3" x14ac:dyDescent="0.35">
      <c r="A71" s="17"/>
      <c r="B71" s="18"/>
      <c r="C71" s="19"/>
    </row>
    <row r="72" spans="1:3" x14ac:dyDescent="0.35">
      <c r="A72" s="17"/>
      <c r="B72" s="18"/>
      <c r="C72" s="19"/>
    </row>
    <row r="73" spans="1:3" x14ac:dyDescent="0.35">
      <c r="A73" s="17"/>
      <c r="B73" s="18"/>
      <c r="C73" s="19"/>
    </row>
    <row r="74" spans="1:3" x14ac:dyDescent="0.35">
      <c r="A74" s="17"/>
      <c r="B74" s="18"/>
      <c r="C74" s="19"/>
    </row>
    <row r="75" spans="1:3" x14ac:dyDescent="0.35">
      <c r="A75" s="17"/>
      <c r="B75" s="18"/>
      <c r="C75" s="19"/>
    </row>
    <row r="76" spans="1:3" x14ac:dyDescent="0.35">
      <c r="A76" s="17"/>
      <c r="B76" s="18"/>
      <c r="C76" s="19"/>
    </row>
    <row r="77" spans="1:3" x14ac:dyDescent="0.35">
      <c r="A77" s="17"/>
      <c r="B77" s="18"/>
      <c r="C77" s="19"/>
    </row>
    <row r="78" spans="1:3" x14ac:dyDescent="0.35">
      <c r="A78" s="17"/>
      <c r="B78" s="18"/>
      <c r="C78" s="19"/>
    </row>
    <row r="79" spans="1:3" x14ac:dyDescent="0.35">
      <c r="A79" s="17"/>
      <c r="B79" s="18"/>
      <c r="C79" s="19"/>
    </row>
    <row r="80" spans="1:3" x14ac:dyDescent="0.35">
      <c r="A80" s="17"/>
      <c r="B80" s="18"/>
      <c r="C80" s="19"/>
    </row>
    <row r="81" spans="1:3" x14ac:dyDescent="0.35">
      <c r="A81" s="17"/>
      <c r="B81" s="18"/>
      <c r="C81" s="19"/>
    </row>
    <row r="82" spans="1:3" x14ac:dyDescent="0.35">
      <c r="A82" s="17"/>
      <c r="B82" s="18"/>
      <c r="C82" s="19"/>
    </row>
    <row r="83" spans="1:3" x14ac:dyDescent="0.35">
      <c r="A83" s="17"/>
      <c r="B83" s="18"/>
      <c r="C83" s="19"/>
    </row>
    <row r="84" spans="1:3" x14ac:dyDescent="0.35">
      <c r="A84" s="17"/>
      <c r="B84" s="18"/>
      <c r="C84" s="19"/>
    </row>
    <row r="85" spans="1:3" x14ac:dyDescent="0.35">
      <c r="A85" s="11"/>
      <c r="B85" s="12"/>
      <c r="C85" s="15"/>
    </row>
    <row r="86" spans="1:3" x14ac:dyDescent="0.35">
      <c r="A86" s="17"/>
      <c r="B86" s="18"/>
      <c r="C86" s="19"/>
    </row>
    <row r="87" spans="1:3" x14ac:dyDescent="0.35">
      <c r="A87" s="17"/>
      <c r="B87" s="18"/>
      <c r="C87" s="19"/>
    </row>
    <row r="88" spans="1:3" x14ac:dyDescent="0.35">
      <c r="A88" s="17"/>
      <c r="B88" s="18"/>
      <c r="C88" s="19"/>
    </row>
    <row r="89" spans="1:3" x14ac:dyDescent="0.35">
      <c r="A89" s="17"/>
      <c r="B89" s="18"/>
      <c r="C89" s="19"/>
    </row>
    <row r="90" spans="1:3" x14ac:dyDescent="0.35">
      <c r="A90" s="17"/>
      <c r="B90" s="18"/>
      <c r="C90" s="19"/>
    </row>
    <row r="91" spans="1:3" x14ac:dyDescent="0.35">
      <c r="A91" s="17"/>
      <c r="B91" s="18"/>
      <c r="C91" s="19"/>
    </row>
    <row r="92" spans="1:3" x14ac:dyDescent="0.35">
      <c r="A92" s="17"/>
      <c r="B92" s="18"/>
      <c r="C92" s="19"/>
    </row>
    <row r="93" spans="1:3" x14ac:dyDescent="0.35">
      <c r="A93" s="17"/>
      <c r="B93" s="18"/>
      <c r="C93" s="19"/>
    </row>
    <row r="94" spans="1:3" x14ac:dyDescent="0.35">
      <c r="A94" s="17"/>
      <c r="B94" s="18"/>
      <c r="C94" s="19"/>
    </row>
    <row r="95" spans="1:3" x14ac:dyDescent="0.35">
      <c r="A95" s="17"/>
      <c r="B95" s="18"/>
      <c r="C95" s="19"/>
    </row>
    <row r="96" spans="1:3" x14ac:dyDescent="0.35">
      <c r="A96" s="17"/>
      <c r="B96" s="18"/>
      <c r="C96" s="19"/>
    </row>
    <row r="97" spans="1:3" x14ac:dyDescent="0.35">
      <c r="A97" s="17"/>
      <c r="B97" s="18"/>
      <c r="C97" s="19"/>
    </row>
    <row r="98" spans="1:3" x14ac:dyDescent="0.35">
      <c r="A98" s="17"/>
      <c r="B98" s="18"/>
      <c r="C98" s="19"/>
    </row>
    <row r="99" spans="1:3" x14ac:dyDescent="0.35">
      <c r="A99" s="17"/>
      <c r="B99" s="18"/>
      <c r="C99" s="19"/>
    </row>
    <row r="100" spans="1:3" x14ac:dyDescent="0.35">
      <c r="A100" s="17"/>
      <c r="B100" s="18"/>
      <c r="C100" s="19"/>
    </row>
    <row r="101" spans="1:3" x14ac:dyDescent="0.35">
      <c r="A101" s="17"/>
      <c r="B101" s="18"/>
      <c r="C101" s="19"/>
    </row>
    <row r="102" spans="1:3" x14ac:dyDescent="0.35">
      <c r="A102" s="11"/>
      <c r="B102" s="12"/>
      <c r="C102" s="15"/>
    </row>
    <row r="103" spans="1:3" x14ac:dyDescent="0.35">
      <c r="A103" s="17"/>
      <c r="B103" s="18"/>
      <c r="C103" s="19"/>
    </row>
    <row r="104" spans="1:3" x14ac:dyDescent="0.35">
      <c r="A104" s="17"/>
      <c r="B104" s="18"/>
      <c r="C104" s="19"/>
    </row>
    <row r="105" spans="1:3" x14ac:dyDescent="0.35">
      <c r="A105" s="17"/>
      <c r="B105" s="18"/>
      <c r="C105" s="19"/>
    </row>
    <row r="106" spans="1:3" x14ac:dyDescent="0.35">
      <c r="A106" s="17"/>
      <c r="B106" s="18"/>
      <c r="C106" s="19"/>
    </row>
    <row r="107" spans="1:3" x14ac:dyDescent="0.35">
      <c r="A107" s="17"/>
      <c r="B107" s="18"/>
      <c r="C107" s="19"/>
    </row>
    <row r="108" spans="1:3" x14ac:dyDescent="0.35">
      <c r="A108" s="17"/>
      <c r="B108" s="18"/>
      <c r="C108" s="19"/>
    </row>
    <row r="109" spans="1:3" x14ac:dyDescent="0.35">
      <c r="A109" s="17"/>
      <c r="B109" s="18"/>
      <c r="C109" s="19"/>
    </row>
    <row r="110" spans="1:3" x14ac:dyDescent="0.35">
      <c r="A110" s="17"/>
      <c r="B110" s="18"/>
      <c r="C110" s="19"/>
    </row>
    <row r="111" spans="1:3" x14ac:dyDescent="0.35">
      <c r="A111" s="17"/>
      <c r="B111" s="18"/>
      <c r="C111" s="19"/>
    </row>
    <row r="112" spans="1:3" x14ac:dyDescent="0.35">
      <c r="A112" s="17"/>
      <c r="B112" s="18"/>
      <c r="C112" s="19"/>
    </row>
    <row r="113" spans="1:3" x14ac:dyDescent="0.35">
      <c r="A113" s="17"/>
      <c r="B113" s="18"/>
      <c r="C113" s="19"/>
    </row>
    <row r="114" spans="1:3" x14ac:dyDescent="0.35">
      <c r="A114" s="17"/>
      <c r="B114" s="18"/>
      <c r="C114" s="19"/>
    </row>
    <row r="115" spans="1:3" x14ac:dyDescent="0.35">
      <c r="A115" s="17"/>
      <c r="B115" s="18"/>
      <c r="C115" s="19"/>
    </row>
    <row r="116" spans="1:3" x14ac:dyDescent="0.35">
      <c r="A116" s="17"/>
      <c r="B116" s="18"/>
      <c r="C116" s="19"/>
    </row>
    <row r="117" spans="1:3" x14ac:dyDescent="0.35">
      <c r="A117" s="17"/>
      <c r="B117" s="18"/>
      <c r="C117" s="19"/>
    </row>
    <row r="118" spans="1:3" x14ac:dyDescent="0.35">
      <c r="A118" s="17"/>
      <c r="B118" s="18"/>
      <c r="C118" s="19"/>
    </row>
    <row r="119" spans="1:3" x14ac:dyDescent="0.35">
      <c r="A119" s="11"/>
      <c r="B119" s="12"/>
      <c r="C119" s="15"/>
    </row>
    <row r="120" spans="1:3" x14ac:dyDescent="0.35">
      <c r="A120" s="17"/>
      <c r="B120" s="18"/>
      <c r="C120" s="19"/>
    </row>
    <row r="121" spans="1:3" x14ac:dyDescent="0.35">
      <c r="A121" s="17"/>
      <c r="B121" s="18"/>
      <c r="C121" s="19"/>
    </row>
    <row r="122" spans="1:3" x14ac:dyDescent="0.35">
      <c r="A122" s="17"/>
      <c r="B122" s="18"/>
      <c r="C122" s="19"/>
    </row>
    <row r="123" spans="1:3" x14ac:dyDescent="0.35">
      <c r="A123" s="17"/>
      <c r="B123" s="18"/>
      <c r="C123" s="19"/>
    </row>
    <row r="124" spans="1:3" x14ac:dyDescent="0.35">
      <c r="A124" s="17"/>
      <c r="B124" s="18"/>
      <c r="C124" s="19"/>
    </row>
    <row r="125" spans="1:3" x14ac:dyDescent="0.35">
      <c r="A125" s="17"/>
      <c r="B125" s="18"/>
      <c r="C125" s="19"/>
    </row>
    <row r="126" spans="1:3" x14ac:dyDescent="0.35">
      <c r="A126" s="17"/>
      <c r="B126" s="18"/>
      <c r="C126" s="19"/>
    </row>
    <row r="127" spans="1:3" x14ac:dyDescent="0.35">
      <c r="A127" s="17"/>
      <c r="B127" s="18"/>
      <c r="C127" s="19"/>
    </row>
    <row r="128" spans="1:3" x14ac:dyDescent="0.35">
      <c r="A128" s="17"/>
      <c r="B128" s="18"/>
      <c r="C128" s="19"/>
    </row>
    <row r="129" spans="1:3" x14ac:dyDescent="0.35">
      <c r="A129" s="17"/>
      <c r="B129" s="18"/>
      <c r="C129" s="19"/>
    </row>
    <row r="130" spans="1:3" x14ac:dyDescent="0.35">
      <c r="A130" s="17"/>
      <c r="B130" s="18"/>
      <c r="C130" s="19"/>
    </row>
    <row r="131" spans="1:3" x14ac:dyDescent="0.35">
      <c r="A131" s="17"/>
      <c r="B131" s="18"/>
      <c r="C131" s="19"/>
    </row>
    <row r="132" spans="1:3" x14ac:dyDescent="0.35">
      <c r="A132" s="17"/>
      <c r="B132" s="18"/>
      <c r="C132" s="19"/>
    </row>
    <row r="133" spans="1:3" x14ac:dyDescent="0.35">
      <c r="A133" s="17"/>
      <c r="B133" s="18"/>
      <c r="C133" s="19"/>
    </row>
    <row r="134" spans="1:3" x14ac:dyDescent="0.35">
      <c r="A134" s="17"/>
      <c r="B134" s="18"/>
      <c r="C134" s="19"/>
    </row>
    <row r="135" spans="1:3" x14ac:dyDescent="0.35">
      <c r="A135" s="17"/>
      <c r="B135" s="18"/>
      <c r="C135" s="19"/>
    </row>
    <row r="136" spans="1:3" x14ac:dyDescent="0.35">
      <c r="A136" s="11"/>
      <c r="B136" s="12"/>
      <c r="C136" s="15"/>
    </row>
    <row r="137" spans="1:3" x14ac:dyDescent="0.35">
      <c r="A137" s="17"/>
      <c r="B137" s="18"/>
      <c r="C137" s="19"/>
    </row>
    <row r="138" spans="1:3" x14ac:dyDescent="0.35">
      <c r="A138" s="17"/>
      <c r="B138" s="18"/>
      <c r="C138" s="19"/>
    </row>
    <row r="139" spans="1:3" x14ac:dyDescent="0.35">
      <c r="A139" s="17"/>
      <c r="B139" s="18"/>
      <c r="C139" s="19"/>
    </row>
    <row r="140" spans="1:3" x14ac:dyDescent="0.35">
      <c r="A140" s="17"/>
      <c r="B140" s="18"/>
      <c r="C140" s="19"/>
    </row>
    <row r="141" spans="1:3" x14ac:dyDescent="0.35">
      <c r="A141" s="17"/>
      <c r="B141" s="18"/>
      <c r="C141" s="19"/>
    </row>
    <row r="142" spans="1:3" x14ac:dyDescent="0.35">
      <c r="A142" s="17"/>
      <c r="B142" s="18"/>
      <c r="C142" s="19"/>
    </row>
    <row r="143" spans="1:3" x14ac:dyDescent="0.35">
      <c r="A143" s="17"/>
      <c r="B143" s="18"/>
      <c r="C143" s="19"/>
    </row>
    <row r="144" spans="1:3" x14ac:dyDescent="0.35">
      <c r="A144" s="17"/>
      <c r="B144" s="18"/>
      <c r="C144" s="19"/>
    </row>
    <row r="145" spans="1:3" x14ac:dyDescent="0.35">
      <c r="A145" s="17"/>
      <c r="B145" s="18"/>
      <c r="C145" s="19"/>
    </row>
    <row r="146" spans="1:3" x14ac:dyDescent="0.35">
      <c r="A146" s="17"/>
      <c r="B146" s="18"/>
      <c r="C146" s="19"/>
    </row>
    <row r="147" spans="1:3" x14ac:dyDescent="0.35">
      <c r="A147" s="17"/>
      <c r="B147" s="18"/>
      <c r="C147" s="19"/>
    </row>
    <row r="148" spans="1:3" x14ac:dyDescent="0.35">
      <c r="A148" s="17"/>
      <c r="B148" s="18"/>
      <c r="C148" s="19"/>
    </row>
    <row r="149" spans="1:3" x14ac:dyDescent="0.35">
      <c r="A149" s="17"/>
      <c r="B149" s="18"/>
      <c r="C149" s="19"/>
    </row>
    <row r="150" spans="1:3" x14ac:dyDescent="0.35">
      <c r="A150" s="17"/>
      <c r="B150" s="18"/>
      <c r="C150" s="19"/>
    </row>
    <row r="151" spans="1:3" x14ac:dyDescent="0.35">
      <c r="A151" s="17"/>
      <c r="B151" s="18"/>
      <c r="C151" s="19"/>
    </row>
    <row r="152" spans="1:3" x14ac:dyDescent="0.35">
      <c r="A152" s="17"/>
      <c r="B152" s="18"/>
      <c r="C152" s="19"/>
    </row>
    <row r="153" spans="1:3" x14ac:dyDescent="0.35">
      <c r="A153" s="11"/>
      <c r="B153" s="12"/>
      <c r="C153" s="15"/>
    </row>
    <row r="154" spans="1:3" x14ac:dyDescent="0.35">
      <c r="A154" s="17"/>
      <c r="B154" s="18"/>
      <c r="C154" s="19"/>
    </row>
    <row r="155" spans="1:3" x14ac:dyDescent="0.35">
      <c r="A155" s="17"/>
      <c r="B155" s="18"/>
      <c r="C155" s="19"/>
    </row>
    <row r="156" spans="1:3" x14ac:dyDescent="0.35">
      <c r="A156" s="17"/>
      <c r="B156" s="18"/>
      <c r="C156" s="19"/>
    </row>
    <row r="157" spans="1:3" x14ac:dyDescent="0.35">
      <c r="A157" s="17"/>
      <c r="B157" s="18"/>
      <c r="C157" s="19"/>
    </row>
    <row r="158" spans="1:3" x14ac:dyDescent="0.35">
      <c r="A158" s="17"/>
      <c r="B158" s="18"/>
      <c r="C158" s="19"/>
    </row>
    <row r="159" spans="1:3" x14ac:dyDescent="0.35">
      <c r="A159" s="17"/>
      <c r="B159" s="18"/>
      <c r="C159" s="19"/>
    </row>
    <row r="160" spans="1:3" x14ac:dyDescent="0.35">
      <c r="A160" s="17"/>
      <c r="B160" s="18"/>
      <c r="C160" s="19"/>
    </row>
    <row r="161" spans="1:3" x14ac:dyDescent="0.35">
      <c r="A161" s="17"/>
      <c r="B161" s="18"/>
      <c r="C161" s="19"/>
    </row>
    <row r="162" spans="1:3" x14ac:dyDescent="0.35">
      <c r="A162" s="17"/>
      <c r="B162" s="18"/>
      <c r="C162" s="19"/>
    </row>
    <row r="163" spans="1:3" x14ac:dyDescent="0.35">
      <c r="A163" s="17"/>
      <c r="B163" s="18"/>
      <c r="C163" s="19"/>
    </row>
    <row r="164" spans="1:3" x14ac:dyDescent="0.35">
      <c r="A164" s="17"/>
      <c r="B164" s="18"/>
      <c r="C164" s="19"/>
    </row>
    <row r="165" spans="1:3" x14ac:dyDescent="0.35">
      <c r="A165" s="17"/>
      <c r="B165" s="18"/>
      <c r="C165" s="19"/>
    </row>
    <row r="166" spans="1:3" x14ac:dyDescent="0.35">
      <c r="A166" s="17"/>
      <c r="B166" s="18"/>
      <c r="C166" s="19"/>
    </row>
    <row r="167" spans="1:3" x14ac:dyDescent="0.35">
      <c r="A167" s="17"/>
      <c r="B167" s="18"/>
      <c r="C167" s="19"/>
    </row>
    <row r="168" spans="1:3" x14ac:dyDescent="0.35">
      <c r="A168" s="17"/>
      <c r="B168" s="18"/>
      <c r="C168" s="19"/>
    </row>
    <row r="169" spans="1:3" x14ac:dyDescent="0.35">
      <c r="A169" s="17"/>
      <c r="B169" s="18"/>
      <c r="C169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meanline_calculator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Agromayor</dc:creator>
  <cp:lastModifiedBy>Roberto Agromayor</cp:lastModifiedBy>
  <dcterms:created xsi:type="dcterms:W3CDTF">2015-06-05T18:19:34Z</dcterms:created>
  <dcterms:modified xsi:type="dcterms:W3CDTF">2026-05-25T19:05:37Z</dcterms:modified>
</cp:coreProperties>
</file>